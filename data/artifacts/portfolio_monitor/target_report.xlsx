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10900"/>
  </bookViews>
  <sheets>
    <sheet name="Position" sheetId="2" r:id="rId1"/>
    <sheet name="Risk" sheetId="4" r:id="rId2"/>
  </sheets>
  <calcPr calcId="144525"/>
</workbook>
</file>

<file path=xl/sharedStrings.xml><?xml version="1.0" encoding="utf-8"?>
<sst xmlns="http://schemas.openxmlformats.org/spreadsheetml/2006/main" count="224" uniqueCount="132">
  <si>
    <t>Category</t>
  </si>
  <si>
    <t>Ticker</t>
  </si>
  <si>
    <t>Name</t>
  </si>
  <si>
    <t>Qty</t>
  </si>
  <si>
    <t>Multiplier</t>
  </si>
  <si>
    <t>Price</t>
  </si>
  <si>
    <t>Exposure(USD)</t>
  </si>
  <si>
    <t>Type</t>
  </si>
  <si>
    <t>duration (FUT_EQV_MOD_DUR_BASED_ON_CTD)</t>
  </si>
  <si>
    <t>FI Exposure (10Y eqv)</t>
  </si>
  <si>
    <t>Dollar%</t>
  </si>
  <si>
    <t>FX</t>
  </si>
  <si>
    <t>Expected Vol</t>
  </si>
  <si>
    <t>Vol Contribution</t>
  </si>
  <si>
    <t>Summary</t>
  </si>
  <si>
    <t>%funded</t>
  </si>
  <si>
    <t>DMEQ</t>
  </si>
  <si>
    <t>SPY</t>
  </si>
  <si>
    <t>US</t>
  </si>
  <si>
    <t>ETF</t>
  </si>
  <si>
    <t>$AUM</t>
  </si>
  <si>
    <t>VOO</t>
  </si>
  <si>
    <t>S$ AUM</t>
  </si>
  <si>
    <t>LON:SPYL</t>
  </si>
  <si>
    <t>SOXX</t>
  </si>
  <si>
    <t>Dollar Allocation</t>
  </si>
  <si>
    <t>$</t>
  </si>
  <si>
    <t>vol contr</t>
  </si>
  <si>
    <t>Wt in ACWI</t>
  </si>
  <si>
    <t>TSLA</t>
  </si>
  <si>
    <t>IEUR</t>
  </si>
  <si>
    <t>EU</t>
  </si>
  <si>
    <t>EMEQ</t>
  </si>
  <si>
    <t>VEA</t>
  </si>
  <si>
    <t>DM</t>
  </si>
  <si>
    <t xml:space="preserve">EQ </t>
  </si>
  <si>
    <t>FI</t>
  </si>
  <si>
    <t xml:space="preserve"> </t>
  </si>
  <si>
    <t>LON:XMME</t>
  </si>
  <si>
    <t>EM</t>
  </si>
  <si>
    <t>GOLD</t>
  </si>
  <si>
    <t>FLKR</t>
  </si>
  <si>
    <t>KR</t>
  </si>
  <si>
    <t>CM</t>
  </si>
  <si>
    <t>KWEB</t>
  </si>
  <si>
    <t>China</t>
  </si>
  <si>
    <t>CASH</t>
  </si>
  <si>
    <t>ASHR</t>
  </si>
  <si>
    <t>Macro</t>
  </si>
  <si>
    <t>IEMG</t>
  </si>
  <si>
    <t>EQ</t>
  </si>
  <si>
    <t>LON:ACWD</t>
  </si>
  <si>
    <t>ACWI</t>
  </si>
  <si>
    <t>Total (corr=0)</t>
  </si>
  <si>
    <t>Total (corr=1)</t>
  </si>
  <si>
    <t>CASH (SGD value)</t>
  </si>
  <si>
    <t>Cash</t>
  </si>
  <si>
    <t>Avg Est.</t>
  </si>
  <si>
    <t>BOXX</t>
  </si>
  <si>
    <t>Inception Date</t>
  </si>
  <si>
    <t>DHB</t>
  </si>
  <si>
    <t>IG Duration-Hedged CR</t>
  </si>
  <si>
    <t>Futures</t>
  </si>
  <si>
    <t>USD</t>
  </si>
  <si>
    <t>SGD</t>
  </si>
  <si>
    <t>HYG</t>
  </si>
  <si>
    <t>CR</t>
  </si>
  <si>
    <t>Cost Basis</t>
  </si>
  <si>
    <t>LQD</t>
  </si>
  <si>
    <t>$PNL</t>
  </si>
  <si>
    <t>TLT</t>
  </si>
  <si>
    <t>%PNL</t>
  </si>
  <si>
    <t>ZNW00:CBOT</t>
  </si>
  <si>
    <t>10Y TF</t>
  </si>
  <si>
    <t>ZFW00:CBOT</t>
  </si>
  <si>
    <t>5Y TF</t>
  </si>
  <si>
    <t>ZTW00:CBOT</t>
  </si>
  <si>
    <t>2Y TF</t>
  </si>
  <si>
    <t>Year</t>
  </si>
  <si>
    <t>Return %</t>
  </si>
  <si>
    <t>Return $</t>
  </si>
  <si>
    <t>BTP</t>
  </si>
  <si>
    <t>10Y Italy</t>
  </si>
  <si>
    <t>2025 (from March)</t>
  </si>
  <si>
    <t>BTS</t>
  </si>
  <si>
    <t>2Y Italy</t>
  </si>
  <si>
    <t>2026 Till Now</t>
  </si>
  <si>
    <t>OAT</t>
  </si>
  <si>
    <t>10Y France</t>
  </si>
  <si>
    <t>G</t>
  </si>
  <si>
    <t>10Y UK</t>
  </si>
  <si>
    <t>XM</t>
  </si>
  <si>
    <t>10Y AU</t>
  </si>
  <si>
    <t>GLD</t>
  </si>
  <si>
    <t>Gold</t>
  </si>
  <si>
    <t>SLV</t>
  </si>
  <si>
    <t>Silver</t>
  </si>
  <si>
    <t>GDX</t>
  </si>
  <si>
    <t>Gold Miner</t>
  </si>
  <si>
    <t>COPX</t>
  </si>
  <si>
    <t>Copper Miner</t>
  </si>
  <si>
    <t>CLZ5</t>
  </si>
  <si>
    <t>CL</t>
  </si>
  <si>
    <t>NGK26_NGQ26</t>
  </si>
  <si>
    <t>NG</t>
  </si>
  <si>
    <t>NGF26_NGJ26</t>
  </si>
  <si>
    <t>LON:DBMF</t>
  </si>
  <si>
    <t>Trend</t>
  </si>
  <si>
    <t>DBMF</t>
  </si>
  <si>
    <t>CURRENCY:EURUSD</t>
  </si>
  <si>
    <t>CURRENCY:SGDUSD</t>
  </si>
  <si>
    <t>CURRENCY:GBPUSD</t>
  </si>
  <si>
    <t>CURRENCY:AUDUSD</t>
  </si>
  <si>
    <t>Latest</t>
  </si>
  <si>
    <t>1M_AVG</t>
  </si>
  <si>
    <t>3M_AVG</t>
  </si>
  <si>
    <t>1Y_AVG</t>
  </si>
  <si>
    <t>5Y_AVG</t>
  </si>
  <si>
    <t>EST</t>
  </si>
  <si>
    <t>Tail</t>
  </si>
  <si>
    <t>daily move</t>
  </si>
  <si>
    <t>INDEXCBOE:VIX</t>
  </si>
  <si>
    <t>%</t>
  </si>
  <si>
    <t>INDEXNYSEGIS:MOVE</t>
  </si>
  <si>
    <t>bps</t>
  </si>
  <si>
    <t>INDEXCBOE:GVZ</t>
  </si>
  <si>
    <t>OIL</t>
  </si>
  <si>
    <t>INDEXCBOE:OVX</t>
  </si>
  <si>
    <t>EQ Risk Attr</t>
  </si>
  <si>
    <t>FI Risk Attr</t>
  </si>
  <si>
    <t>corr=0</t>
  </si>
  <si>
    <t>corr=1</t>
  </si>
</sst>
</file>

<file path=xl/styles.xml><?xml version="1.0" encoding="utf-8"?>
<styleSheet xmlns="http://schemas.openxmlformats.org/spreadsheetml/2006/main">
  <numFmts count="7">
    <numFmt numFmtId="176" formatCode="0.0%"/>
    <numFmt numFmtId="177" formatCode="_ * #,##0.00_ ;_ * \-#,##0.00_ ;_ * &quot;-&quot;??_ ;_ @_ "/>
    <numFmt numFmtId="178" formatCode="yyyy\ mmm\ d"/>
    <numFmt numFmtId="44" formatCode="_(&quot;$&quot;* #,##0.00_);_(&quot;$&quot;* \(#,##0.00\);_(&quot;$&quot;* &quot;-&quot;??_);_(@_)"/>
    <numFmt numFmtId="179" formatCode="&quot;$&quot;#,##0.00"/>
    <numFmt numFmtId="180" formatCode="_ * #,##0_ ;_ * \-#,##0_ ;_ * &quot;-&quot;_ ;_ @_ "/>
    <numFmt numFmtId="42" formatCode="_(&quot;$&quot;* #,##0_);_(&quot;$&quot;* \(#,##0\);_(&quot;$&quot;* &quot;-&quot;_);_(@_)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2B333A"/>
      <name val="&quot;Source Code Pro&quot;"/>
      <charset val="134"/>
    </font>
    <font>
      <sz val="9"/>
      <color rgb="FF999999"/>
      <name val="Arial"/>
      <charset val="134"/>
      <scheme val="minor"/>
    </font>
    <font>
      <sz val="10"/>
      <color theme="1"/>
      <name val="Arial"/>
      <charset val="134"/>
    </font>
    <font>
      <sz val="11"/>
      <color rgb="FFCDCDCD"/>
      <name val="Arial"/>
      <charset val="134"/>
    </font>
    <font>
      <sz val="10"/>
      <color rgb="FF990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101218"/>
        <bgColor rgb="FF101218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8" fillId="19" borderId="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22" borderId="6" applyNumberFormat="0" applyFont="0" applyAlignment="0" applyProtection="0">
      <alignment vertical="center"/>
    </xf>
    <xf numFmtId="0" fontId="14" fillId="18" borderId="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9" borderId="2" applyNumberForma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80" fontId="11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4" fontId="1" fillId="0" borderId="0" xfId="0" applyNumberFormat="1" applyFont="1"/>
    <xf numFmtId="10" fontId="1" fillId="0" borderId="0" xfId="0" applyNumberFormat="1" applyFont="1"/>
    <xf numFmtId="0" fontId="1" fillId="2" borderId="0" xfId="0" applyFont="1" applyFill="1" applyAlignment="1"/>
    <xf numFmtId="4" fontId="1" fillId="2" borderId="0" xfId="0" applyNumberFormat="1" applyFont="1" applyFill="1"/>
    <xf numFmtId="10" fontId="1" fillId="2" borderId="0" xfId="0" applyNumberFormat="1" applyFont="1" applyFill="1"/>
    <xf numFmtId="0" fontId="1" fillId="3" borderId="0" xfId="0" applyFont="1" applyFill="1" applyAlignment="1"/>
    <xf numFmtId="10" fontId="1" fillId="3" borderId="0" xfId="0" applyNumberFormat="1" applyFont="1" applyFill="1"/>
    <xf numFmtId="0" fontId="2" fillId="4" borderId="0" xfId="0" applyFont="1" applyFill="1" applyAlignment="1">
      <alignment horizontal="left"/>
    </xf>
    <xf numFmtId="179" fontId="1" fillId="0" borderId="0" xfId="0" applyNumberFormat="1" applyFont="1"/>
    <xf numFmtId="0" fontId="3" fillId="0" borderId="0" xfId="0" applyFont="1" applyAlignment="1"/>
    <xf numFmtId="179" fontId="3" fillId="0" borderId="0" xfId="0" applyNumberFormat="1" applyFont="1"/>
    <xf numFmtId="176" fontId="3" fillId="0" borderId="0" xfId="0" applyNumberFormat="1" applyFont="1"/>
    <xf numFmtId="10" fontId="3" fillId="0" borderId="0" xfId="0" applyNumberFormat="1" applyFont="1"/>
    <xf numFmtId="176" fontId="1" fillId="0" borderId="0" xfId="0" applyNumberFormat="1" applyFont="1"/>
    <xf numFmtId="179" fontId="1" fillId="5" borderId="0" xfId="0" applyNumberFormat="1" applyFont="1" applyFill="1"/>
    <xf numFmtId="179" fontId="1" fillId="6" borderId="0" xfId="0" applyNumberFormat="1" applyFont="1" applyFill="1"/>
    <xf numFmtId="178" fontId="1" fillId="0" borderId="0" xfId="0" applyNumberFormat="1" applyFont="1" applyAlignment="1"/>
    <xf numFmtId="179" fontId="1" fillId="0" borderId="0" xfId="0" applyNumberFormat="1" applyFont="1" applyAlignment="1"/>
    <xf numFmtId="10" fontId="1" fillId="0" borderId="0" xfId="0" applyNumberFormat="1" applyFont="1" applyAlignment="1"/>
    <xf numFmtId="0" fontId="4" fillId="0" borderId="0" xfId="0" applyFont="1" applyAlignment="1"/>
    <xf numFmtId="0" fontId="1" fillId="7" borderId="0" xfId="0" applyFont="1" applyFill="1" applyAlignment="1"/>
    <xf numFmtId="0" fontId="4" fillId="7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79" fontId="5" fillId="8" borderId="0" xfId="0" applyNumberFormat="1" applyFont="1" applyFill="1" applyAlignment="1"/>
    <xf numFmtId="0" fontId="1" fillId="0" borderId="0" xfId="0" applyFont="1"/>
    <xf numFmtId="0" fontId="6" fillId="0" borderId="0" xfId="0" applyFont="1" applyAlignment="1"/>
    <xf numFmtId="9" fontId="1" fillId="0" borderId="0" xfId="0" applyNumberFormat="1" applyFont="1" applyAlignment="1"/>
    <xf numFmtId="10" fontId="4" fillId="0" borderId="0" xfId="0" applyNumberFormat="1" applyFont="1" applyAlignment="1"/>
    <xf numFmtId="9" fontId="4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H1574"/>
  <sheetViews>
    <sheetView tabSelected="1" workbookViewId="0">
      <selection activeCell="A1" sqref="A1"/>
    </sheetView>
  </sheetViews>
  <sheetFormatPr defaultColWidth="12.6339285714286" defaultRowHeight="15.75" customHeight="1"/>
  <cols>
    <col min="1" max="1" width="14.75" customWidth="1"/>
    <col min="3" max="3" width="10.25" customWidth="1"/>
    <col min="5" max="5" width="9.63392857142857" customWidth="1"/>
    <col min="6" max="8" width="7.75" customWidth="1"/>
    <col min="9" max="9" width="18" customWidth="1"/>
    <col min="10" max="10" width="17.75" customWidth="1"/>
    <col min="11" max="11" width="4.75" customWidth="1"/>
    <col min="12" max="12" width="7.63392857142857" customWidth="1"/>
    <col min="13" max="13" width="7" customWidth="1"/>
    <col min="14" max="14" width="12.6339285714286" customWidth="1"/>
    <col min="15" max="15" width="6.63392857142857" customWidth="1"/>
    <col min="16" max="16" width="40" customWidth="1"/>
    <col min="17" max="17" width="17.6339285714286" customWidth="1"/>
    <col min="18" max="18" width="7.63392857142857" customWidth="1"/>
    <col min="19" max="19" width="5.13392857142857" customWidth="1"/>
  </cols>
  <sheetData>
    <row r="1" customHeight="1" spans="8:2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20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21" t="s">
        <v>13</v>
      </c>
    </row>
    <row r="2" customHeight="1" spans="1:21">
      <c r="A2" s="1" t="s">
        <v>14</v>
      </c>
      <c r="B2" s="1" t="s">
        <v>15</v>
      </c>
      <c r="C2" s="4">
        <f>(SUMIF(O:O,"ETF",N:N))/C3</f>
        <v>0.936717487139845</v>
      </c>
      <c r="H2" s="1" t="s">
        <v>16</v>
      </c>
      <c r="I2" s="1" t="s">
        <v>17</v>
      </c>
      <c r="J2" s="1" t="s">
        <v>18</v>
      </c>
      <c r="K2" s="23">
        <v>100</v>
      </c>
      <c r="L2" s="1">
        <v>1</v>
      </c>
      <c r="M2" s="27">
        <f>IFERROR(__xludf.DUMMYFUNCTION("GOOGLEFINANCE(I2, ""price"")"),656.82)</f>
        <v>656.82</v>
      </c>
      <c r="N2" s="11">
        <f t="shared" ref="N2:N8" si="0">K2*L2*M2*S2</f>
        <v>65682</v>
      </c>
      <c r="O2" s="1" t="s">
        <v>19</v>
      </c>
      <c r="P2" s="1">
        <v>1</v>
      </c>
      <c r="Q2" s="4"/>
      <c r="R2" s="4">
        <f t="shared" ref="R2:R8" si="1">N2/$C$3</f>
        <v>0.0852718803870645</v>
      </c>
      <c r="S2" s="1">
        <v>1</v>
      </c>
      <c r="T2" s="29">
        <v>0.15</v>
      </c>
      <c r="U2" s="21">
        <f t="shared" ref="U2:U8" si="2">N2/$C$3*T2</f>
        <v>0.0127907820580597</v>
      </c>
    </row>
    <row r="3" customHeight="1" spans="2:21">
      <c r="B3" s="1" t="s">
        <v>20</v>
      </c>
      <c r="C3" s="11">
        <f>SUMIF(O:O,"&lt;&gt;Futures",N:N)</f>
        <v>770265.645625</v>
      </c>
      <c r="H3" s="1" t="s">
        <v>16</v>
      </c>
      <c r="I3" s="1" t="s">
        <v>21</v>
      </c>
      <c r="J3" s="1" t="s">
        <v>18</v>
      </c>
      <c r="K3" s="23">
        <v>155</v>
      </c>
      <c r="L3" s="1">
        <v>1</v>
      </c>
      <c r="M3" s="27">
        <f>IFERROR(__xludf.DUMMYFUNCTION("GOOGLEFINANCE(I3, ""price"")"),605.66)</f>
        <v>605.66</v>
      </c>
      <c r="N3" s="11">
        <f t="shared" si="0"/>
        <v>93877.3</v>
      </c>
      <c r="O3" s="1" t="s">
        <v>19</v>
      </c>
      <c r="P3" s="1">
        <v>1</v>
      </c>
      <c r="Q3" s="4"/>
      <c r="R3" s="4">
        <f t="shared" si="1"/>
        <v>0.121876524720023</v>
      </c>
      <c r="S3" s="1">
        <v>1</v>
      </c>
      <c r="T3" s="29">
        <v>0.15</v>
      </c>
      <c r="U3" s="21">
        <f t="shared" si="2"/>
        <v>0.0182814787080035</v>
      </c>
    </row>
    <row r="4" customHeight="1" spans="2:164">
      <c r="B4" s="1" t="s">
        <v>22</v>
      </c>
      <c r="C4" s="11">
        <f>C3/J48</f>
        <v>987634.611446535</v>
      </c>
      <c r="H4" s="1" t="s">
        <v>16</v>
      </c>
      <c r="I4" s="1" t="s">
        <v>23</v>
      </c>
      <c r="J4" s="1" t="s">
        <v>18</v>
      </c>
      <c r="K4" s="23">
        <v>4000</v>
      </c>
      <c r="L4" s="1">
        <v>1</v>
      </c>
      <c r="M4" s="27">
        <f>IFERROR(__xludf.DUMMYFUNCTION("GOOGLEFINANCE(I4, ""price"")"),16.26)</f>
        <v>16.26</v>
      </c>
      <c r="N4" s="11">
        <f t="shared" si="0"/>
        <v>65040</v>
      </c>
      <c r="O4" s="1" t="s">
        <v>19</v>
      </c>
      <c r="P4" s="1">
        <v>1</v>
      </c>
      <c r="Q4" s="4"/>
      <c r="R4" s="4">
        <f t="shared" si="1"/>
        <v>0.0844384016987101</v>
      </c>
      <c r="S4" s="1">
        <v>1</v>
      </c>
      <c r="T4" s="29">
        <v>0.18</v>
      </c>
      <c r="U4" s="21">
        <f t="shared" si="2"/>
        <v>0.0151989123057678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</row>
    <row r="5" customHeight="1" spans="8:21">
      <c r="H5" s="22" t="s">
        <v>16</v>
      </c>
      <c r="I5" s="22" t="s">
        <v>24</v>
      </c>
      <c r="J5" s="22" t="s">
        <v>18</v>
      </c>
      <c r="K5" s="24">
        <v>60</v>
      </c>
      <c r="L5" s="25">
        <v>1</v>
      </c>
      <c r="M5" s="25">
        <f>IFERROR(__xludf.DUMMYFUNCTION("GOOGLEFINANCE(I5, ""price"")"),345.25)</f>
        <v>345.25</v>
      </c>
      <c r="N5" s="11">
        <f t="shared" si="0"/>
        <v>20715</v>
      </c>
      <c r="O5" s="22" t="s">
        <v>19</v>
      </c>
      <c r="P5" s="1">
        <v>1</v>
      </c>
      <c r="Q5" s="30"/>
      <c r="R5" s="4">
        <f t="shared" si="1"/>
        <v>0.0268933193602211</v>
      </c>
      <c r="S5" s="1">
        <v>1</v>
      </c>
      <c r="T5" s="31">
        <v>0.18</v>
      </c>
      <c r="U5" s="21">
        <f t="shared" si="2"/>
        <v>0.00484079748483979</v>
      </c>
    </row>
    <row r="6" customHeight="1" spans="1:21">
      <c r="A6" s="1" t="s">
        <v>25</v>
      </c>
      <c r="B6" s="1" t="s">
        <v>26</v>
      </c>
      <c r="C6" s="1" t="s">
        <v>10</v>
      </c>
      <c r="D6" s="1" t="s">
        <v>27</v>
      </c>
      <c r="E6" s="1" t="s">
        <v>28</v>
      </c>
      <c r="H6" s="1" t="s">
        <v>16</v>
      </c>
      <c r="I6" s="1" t="s">
        <v>29</v>
      </c>
      <c r="J6" s="1" t="s">
        <v>29</v>
      </c>
      <c r="K6" s="23">
        <v>15</v>
      </c>
      <c r="L6" s="1">
        <v>1</v>
      </c>
      <c r="M6" s="27">
        <f>IFERROR(__xludf.DUMMYFUNCTION("GOOGLEFINANCE(I6, ""price"")"),385.95)</f>
        <v>385.95</v>
      </c>
      <c r="N6" s="11">
        <f t="shared" si="0"/>
        <v>5789.25</v>
      </c>
      <c r="O6" s="1" t="s">
        <v>19</v>
      </c>
      <c r="P6" s="1">
        <v>1</v>
      </c>
      <c r="Q6" s="4"/>
      <c r="R6" s="4">
        <f t="shared" si="1"/>
        <v>0.00751591354603717</v>
      </c>
      <c r="S6" s="1">
        <v>1</v>
      </c>
      <c r="T6" s="29">
        <v>0.25</v>
      </c>
      <c r="U6" s="21">
        <f t="shared" si="2"/>
        <v>0.00187897838650929</v>
      </c>
    </row>
    <row r="7" customHeight="1" spans="1:21">
      <c r="A7" s="12" t="s">
        <v>16</v>
      </c>
      <c r="B7" s="13">
        <f t="shared" ref="B7:B8" si="3">SUMIF(H:H,A7,N:N)+E7*SUMIF(H:H,"EQ",N:N)</f>
        <v>448015.13</v>
      </c>
      <c r="C7" s="14">
        <f t="shared" ref="C7:C8" si="4">B7/$C$3</f>
        <v>0.581637169650059</v>
      </c>
      <c r="D7" s="15">
        <f t="shared" ref="D7:D8" si="5">SUMIF(H:H,A7,U:U)</f>
        <v>0.0765320481769214</v>
      </c>
      <c r="E7" s="1">
        <v>0.89</v>
      </c>
      <c r="H7" s="1" t="s">
        <v>16</v>
      </c>
      <c r="I7" s="1" t="s">
        <v>30</v>
      </c>
      <c r="J7" s="1" t="s">
        <v>31</v>
      </c>
      <c r="K7" s="23">
        <v>1000</v>
      </c>
      <c r="L7" s="1">
        <v>1</v>
      </c>
      <c r="M7" s="27">
        <f>IFERROR(__xludf.DUMMYFUNCTION("GOOGLEFINANCE(I7, ""price"")"),69.71)</f>
        <v>69.71</v>
      </c>
      <c r="N7" s="11">
        <f t="shared" si="0"/>
        <v>69710</v>
      </c>
      <c r="O7" s="1" t="s">
        <v>19</v>
      </c>
      <c r="P7" s="1">
        <v>1</v>
      </c>
      <c r="Q7" s="4"/>
      <c r="R7" s="4">
        <f t="shared" si="1"/>
        <v>0.0905012451171137</v>
      </c>
      <c r="S7" s="1">
        <v>1</v>
      </c>
      <c r="T7" s="29">
        <v>0.15</v>
      </c>
      <c r="U7" s="21">
        <f t="shared" si="2"/>
        <v>0.0135751867675671</v>
      </c>
    </row>
    <row r="8" customHeight="1" spans="1:21">
      <c r="A8" s="12" t="s">
        <v>32</v>
      </c>
      <c r="B8" s="13">
        <f t="shared" si="3"/>
        <v>118197.67</v>
      </c>
      <c r="C8" s="14">
        <f t="shared" si="4"/>
        <v>0.153450527972195</v>
      </c>
      <c r="D8" s="15">
        <f t="shared" si="5"/>
        <v>0.0312768070818633</v>
      </c>
      <c r="E8" s="1">
        <v>0.11</v>
      </c>
      <c r="H8" s="1" t="s">
        <v>16</v>
      </c>
      <c r="I8" s="1" t="s">
        <v>33</v>
      </c>
      <c r="J8" s="1" t="s">
        <v>34</v>
      </c>
      <c r="K8" s="23">
        <v>800</v>
      </c>
      <c r="L8" s="1">
        <v>1</v>
      </c>
      <c r="M8" s="27">
        <f>IFERROR(__xludf.DUMMYFUNCTION("GOOGLEFINANCE(I8, ""price"")"),63.97)</f>
        <v>63.97</v>
      </c>
      <c r="N8" s="11">
        <f t="shared" si="0"/>
        <v>51176</v>
      </c>
      <c r="O8" s="1" t="s">
        <v>19</v>
      </c>
      <c r="P8" s="1">
        <v>1</v>
      </c>
      <c r="Q8" s="4"/>
      <c r="R8" s="4">
        <f t="shared" si="1"/>
        <v>0.0664394164411621</v>
      </c>
      <c r="S8" s="1">
        <v>1</v>
      </c>
      <c r="T8" s="29">
        <v>0.15</v>
      </c>
      <c r="U8" s="21">
        <f t="shared" si="2"/>
        <v>0.00996591246617432</v>
      </c>
    </row>
    <row r="9" customHeight="1" spans="1:4">
      <c r="A9" s="1" t="s">
        <v>35</v>
      </c>
      <c r="B9" s="11">
        <f t="shared" ref="B9:D9" si="6">SUM(B7:B8)</f>
        <v>566212.8</v>
      </c>
      <c r="C9" s="16">
        <f t="shared" si="6"/>
        <v>0.735087697622254</v>
      </c>
      <c r="D9" s="4">
        <f t="shared" si="6"/>
        <v>0.107808855258785</v>
      </c>
    </row>
    <row r="10" customHeight="1" spans="1:21">
      <c r="A10" s="1" t="s">
        <v>36</v>
      </c>
      <c r="B10" s="17">
        <f>SUMIF(H:H,A10,Q:Q)</f>
        <v>709617.225383506</v>
      </c>
      <c r="C10" s="16">
        <f t="shared" ref="C10:C14" si="7">B10/$C$3</f>
        <v>0.921262981692136</v>
      </c>
      <c r="D10" s="4">
        <f t="shared" ref="D10:D14" si="8">SUMIF(H:H,A10,U:U)</f>
        <v>0.0686712958061117</v>
      </c>
      <c r="E10" s="1"/>
      <c r="F10" s="1" t="s">
        <v>37</v>
      </c>
      <c r="G10" s="1"/>
      <c r="H10" s="1" t="s">
        <v>32</v>
      </c>
      <c r="I10" s="1" t="s">
        <v>38</v>
      </c>
      <c r="J10" s="1" t="s">
        <v>39</v>
      </c>
      <c r="K10" s="23">
        <v>200</v>
      </c>
      <c r="L10" s="1">
        <v>1</v>
      </c>
      <c r="M10" s="27">
        <f>IFERROR(__xludf.DUMMYFUNCTION("GOOGLEFINANCE(I10, ""price"")"),79.51)</f>
        <v>79.51</v>
      </c>
      <c r="N10" s="11">
        <f t="shared" ref="N10:N15" si="9">K10*L10*M10*S10</f>
        <v>15902</v>
      </c>
      <c r="O10" s="1" t="s">
        <v>19</v>
      </c>
      <c r="P10" s="1">
        <v>1</v>
      </c>
      <c r="Q10" s="4"/>
      <c r="R10" s="4">
        <f t="shared" ref="R10:R15" si="10">N10/$C$3</f>
        <v>0.0206448257043802</v>
      </c>
      <c r="S10" s="1">
        <v>1</v>
      </c>
      <c r="T10" s="31">
        <v>0.2</v>
      </c>
      <c r="U10" s="21">
        <f t="shared" ref="U10:U15" si="11">N10/$C$3*T10</f>
        <v>0.00412896514087604</v>
      </c>
    </row>
    <row r="11" customHeight="1" spans="1:21">
      <c r="A11" s="1" t="s">
        <v>40</v>
      </c>
      <c r="B11" s="11">
        <f>SUMIF(H:H,A11,N:N)</f>
        <v>62443.5</v>
      </c>
      <c r="C11" s="16">
        <f t="shared" si="7"/>
        <v>0.0810674867231458</v>
      </c>
      <c r="D11" s="4">
        <f t="shared" si="8"/>
        <v>0.0162134973446292</v>
      </c>
      <c r="H11" s="1" t="s">
        <v>32</v>
      </c>
      <c r="I11" s="1" t="s">
        <v>41</v>
      </c>
      <c r="J11" s="1" t="s">
        <v>42</v>
      </c>
      <c r="K11" s="23">
        <v>400</v>
      </c>
      <c r="L11" s="1">
        <v>1</v>
      </c>
      <c r="M11" s="27">
        <f>IFERROR(__xludf.DUMMYFUNCTION("GOOGLEFINANCE(I11, ""price"")"),41.41)</f>
        <v>41.41</v>
      </c>
      <c r="N11" s="11">
        <f t="shared" si="9"/>
        <v>16564</v>
      </c>
      <c r="O11" s="1" t="s">
        <v>19</v>
      </c>
      <c r="P11" s="1">
        <v>1</v>
      </c>
      <c r="Q11" s="4"/>
      <c r="R11" s="4">
        <f t="shared" si="10"/>
        <v>0.0215042694609076</v>
      </c>
      <c r="S11" s="1">
        <v>1</v>
      </c>
      <c r="T11" s="31">
        <v>0.2</v>
      </c>
      <c r="U11" s="21">
        <f t="shared" si="11"/>
        <v>0.00430085389218153</v>
      </c>
    </row>
    <row r="12" customHeight="1" spans="1:21">
      <c r="A12" s="1" t="s">
        <v>43</v>
      </c>
      <c r="B12" s="18">
        <f t="array" ref="B12">SUM(IF(H:H=A12,ABS(N:N)))</f>
        <v>15128</v>
      </c>
      <c r="C12" s="16">
        <f t="shared" si="7"/>
        <v>0.0196399775660837</v>
      </c>
      <c r="D12" s="4">
        <f t="shared" si="8"/>
        <v>0.0068739921481293</v>
      </c>
      <c r="H12" s="1" t="s">
        <v>32</v>
      </c>
      <c r="I12" s="1" t="s">
        <v>44</v>
      </c>
      <c r="J12" s="1" t="s">
        <v>45</v>
      </c>
      <c r="K12" s="23">
        <v>1600</v>
      </c>
      <c r="L12" s="1">
        <v>1</v>
      </c>
      <c r="M12" s="27">
        <f>IFERROR(__xludf.DUMMYFUNCTION("GOOGLEFINANCE(I12, ""price"")"),29.14)</f>
        <v>29.14</v>
      </c>
      <c r="N12" s="11">
        <f t="shared" si="9"/>
        <v>46624</v>
      </c>
      <c r="O12" s="1" t="s">
        <v>19</v>
      </c>
      <c r="P12" s="1">
        <v>1</v>
      </c>
      <c r="Q12" s="4"/>
      <c r="R12" s="4">
        <f t="shared" si="10"/>
        <v>0.0605297669249794</v>
      </c>
      <c r="S12" s="1">
        <v>1</v>
      </c>
      <c r="T12" s="31">
        <v>0.25</v>
      </c>
      <c r="U12" s="21">
        <f t="shared" si="11"/>
        <v>0.0151324417312448</v>
      </c>
    </row>
    <row r="13" customHeight="1" spans="1:21">
      <c r="A13" s="1" t="s">
        <v>46</v>
      </c>
      <c r="B13" s="11">
        <f t="shared" ref="B13:B14" si="12">SUMIF(H:H,A13,N:N)</f>
        <v>48744.345625</v>
      </c>
      <c r="C13" s="16">
        <f t="shared" si="7"/>
        <v>0.0632825128601554</v>
      </c>
      <c r="D13" s="4">
        <f t="shared" si="8"/>
        <v>0</v>
      </c>
      <c r="H13" s="1" t="s">
        <v>32</v>
      </c>
      <c r="I13" s="1" t="s">
        <v>47</v>
      </c>
      <c r="J13" s="1" t="s">
        <v>45</v>
      </c>
      <c r="K13" s="23">
        <v>100</v>
      </c>
      <c r="L13" s="1">
        <v>1</v>
      </c>
      <c r="M13" s="27">
        <f>IFERROR(__xludf.DUMMYFUNCTION("GOOGLEFINANCE(I13, ""price"")"),32.7)</f>
        <v>32.7</v>
      </c>
      <c r="N13" s="11">
        <f t="shared" si="9"/>
        <v>3270</v>
      </c>
      <c r="O13" s="1" t="s">
        <v>19</v>
      </c>
      <c r="P13" s="1">
        <v>1</v>
      </c>
      <c r="Q13" s="4"/>
      <c r="R13" s="4">
        <f t="shared" si="10"/>
        <v>0.00424528864629123</v>
      </c>
      <c r="S13" s="1">
        <v>1</v>
      </c>
      <c r="T13" s="31">
        <v>0.2</v>
      </c>
      <c r="U13" s="21">
        <f t="shared" si="11"/>
        <v>0.000849057729258247</v>
      </c>
    </row>
    <row r="14" customHeight="1" spans="1:21">
      <c r="A14" s="1" t="s">
        <v>48</v>
      </c>
      <c r="B14" s="11">
        <f t="shared" si="12"/>
        <v>34245</v>
      </c>
      <c r="C14" s="16">
        <f t="shared" si="7"/>
        <v>0.0444586879792793</v>
      </c>
      <c r="D14" s="4">
        <f t="shared" si="8"/>
        <v>0.00889173759585586</v>
      </c>
      <c r="H14" s="1" t="s">
        <v>32</v>
      </c>
      <c r="I14" s="1" t="s">
        <v>49</v>
      </c>
      <c r="J14" s="1" t="s">
        <v>39</v>
      </c>
      <c r="K14" s="23">
        <v>375</v>
      </c>
      <c r="L14" s="1">
        <v>1</v>
      </c>
      <c r="M14" s="27">
        <f>IFERROR(__xludf.DUMMYFUNCTION("GOOGLEFINANCE(I14, ""price"")"),70.51)</f>
        <v>70.51</v>
      </c>
      <c r="N14" s="11">
        <f t="shared" si="9"/>
        <v>26441.25</v>
      </c>
      <c r="O14" s="1" t="s">
        <v>19</v>
      </c>
      <c r="P14" s="1">
        <v>1</v>
      </c>
      <c r="Q14" s="4"/>
      <c r="R14" s="4">
        <f t="shared" si="10"/>
        <v>0.0343274429415132</v>
      </c>
      <c r="S14" s="1">
        <v>1</v>
      </c>
      <c r="T14" s="31">
        <v>0.2</v>
      </c>
      <c r="U14" s="21">
        <f t="shared" si="11"/>
        <v>0.00686548858830264</v>
      </c>
    </row>
    <row r="15" customHeight="1" spans="8:21">
      <c r="H15" s="1" t="s">
        <v>50</v>
      </c>
      <c r="I15" s="1" t="s">
        <v>51</v>
      </c>
      <c r="J15" s="1" t="s">
        <v>52</v>
      </c>
      <c r="K15" s="23">
        <v>300</v>
      </c>
      <c r="L15" s="1">
        <v>1</v>
      </c>
      <c r="M15" s="27">
        <f>IFERROR(__xludf.DUMMYFUNCTION("GOOGLEFINANCE(I15, ""price"")"),284.74)</f>
        <v>284.74</v>
      </c>
      <c r="N15" s="11">
        <f t="shared" si="9"/>
        <v>85422</v>
      </c>
      <c r="O15" s="1" t="s">
        <v>19</v>
      </c>
      <c r="P15" s="1">
        <v>1</v>
      </c>
      <c r="Q15" s="4"/>
      <c r="R15" s="4">
        <f t="shared" si="10"/>
        <v>0.11089940267385</v>
      </c>
      <c r="S15" s="1">
        <v>1</v>
      </c>
      <c r="T15" s="31">
        <v>0.15</v>
      </c>
      <c r="U15" s="21">
        <f t="shared" si="11"/>
        <v>0.0166349104010775</v>
      </c>
    </row>
    <row r="16" customHeight="1" spans="1:4">
      <c r="A16" s="1" t="s">
        <v>53</v>
      </c>
      <c r="D16" s="4">
        <f>SQRT(SUMPRODUCT(D9:D13,D9:D13))</f>
        <v>0.129029552444767</v>
      </c>
    </row>
    <row r="17" customHeight="1" spans="1:21">
      <c r="A17" s="1" t="s">
        <v>54</v>
      </c>
      <c r="D17" s="4">
        <f>SUM(D9:D13)</f>
        <v>0.199567640557655</v>
      </c>
      <c r="H17" s="1" t="s">
        <v>46</v>
      </c>
      <c r="I17" s="1" t="s">
        <v>55</v>
      </c>
      <c r="J17" s="1" t="s">
        <v>56</v>
      </c>
      <c r="K17" s="23">
        <v>62500</v>
      </c>
      <c r="L17" s="1">
        <v>1</v>
      </c>
      <c r="M17" s="1">
        <v>1</v>
      </c>
      <c r="N17" s="11">
        <f t="shared" ref="N17:N18" si="13">K17*L17*M17*S17</f>
        <v>48744.345625</v>
      </c>
      <c r="O17" s="1" t="s">
        <v>46</v>
      </c>
      <c r="P17" s="1">
        <v>1</v>
      </c>
      <c r="Q17" s="11"/>
      <c r="S17" s="11">
        <f>J48</f>
        <v>0.77990953</v>
      </c>
      <c r="T17" s="29">
        <v>0</v>
      </c>
      <c r="U17" s="21">
        <f t="shared" ref="U17:U18" si="14">N16/$C$3*T16</f>
        <v>0</v>
      </c>
    </row>
    <row r="18" customHeight="1" spans="1:21">
      <c r="A18" s="1" t="s">
        <v>57</v>
      </c>
      <c r="D18" s="4">
        <f>(D17+D16)/2</f>
        <v>0.164298596501211</v>
      </c>
      <c r="H18" s="1" t="s">
        <v>46</v>
      </c>
      <c r="I18" s="1" t="s">
        <v>58</v>
      </c>
      <c r="J18" s="1" t="s">
        <v>56</v>
      </c>
      <c r="K18" s="23">
        <v>0</v>
      </c>
      <c r="L18" s="1">
        <v>1</v>
      </c>
      <c r="M18" s="27">
        <f>IFERROR(__xludf.DUMMYFUNCTION("GOOGLEFINANCE(I18, ""price"")"),116.06)</f>
        <v>116.06</v>
      </c>
      <c r="N18" s="11">
        <f t="shared" si="13"/>
        <v>0</v>
      </c>
      <c r="O18" s="1" t="s">
        <v>46</v>
      </c>
      <c r="P18" s="1">
        <v>1</v>
      </c>
      <c r="Q18" s="11"/>
      <c r="R18" s="4">
        <f>N18/$C$3</f>
        <v>0</v>
      </c>
      <c r="S18" s="1">
        <v>1</v>
      </c>
      <c r="T18" s="29">
        <v>0</v>
      </c>
      <c r="U18" s="21">
        <f t="shared" si="14"/>
        <v>0</v>
      </c>
    </row>
    <row r="20" customHeight="1" spans="1:21">
      <c r="A20" s="1" t="s">
        <v>59</v>
      </c>
      <c r="B20" s="19">
        <v>45722</v>
      </c>
      <c r="H20" s="1" t="s">
        <v>36</v>
      </c>
      <c r="I20" s="1" t="s">
        <v>60</v>
      </c>
      <c r="J20" s="1" t="s">
        <v>61</v>
      </c>
      <c r="K20" s="23">
        <v>0</v>
      </c>
      <c r="L20" s="1">
        <v>500</v>
      </c>
      <c r="M20" s="23">
        <v>218.6</v>
      </c>
      <c r="N20" s="11">
        <f t="shared" ref="N20:N31" si="15">K20*L20*M20*S20</f>
        <v>0</v>
      </c>
      <c r="O20" s="1" t="s">
        <v>62</v>
      </c>
      <c r="P20" s="1">
        <v>0</v>
      </c>
      <c r="Q20" s="11">
        <f t="shared" ref="Q20:Q31" si="16">N20*P20/$P$24</f>
        <v>0</v>
      </c>
      <c r="R20" s="4">
        <f>Q20/$C$3</f>
        <v>0</v>
      </c>
      <c r="S20" s="1">
        <v>1</v>
      </c>
      <c r="T20" s="29">
        <v>0.04</v>
      </c>
      <c r="U20" s="21">
        <f>N18/$C$3*T18</f>
        <v>0</v>
      </c>
    </row>
    <row r="21" customHeight="1" spans="1:21">
      <c r="A21" s="1"/>
      <c r="B21" s="20" t="s">
        <v>63</v>
      </c>
      <c r="C21" s="1" t="s">
        <v>64</v>
      </c>
      <c r="H21" s="1" t="s">
        <v>36</v>
      </c>
      <c r="I21" s="1" t="s">
        <v>65</v>
      </c>
      <c r="J21" s="1" t="s">
        <v>66</v>
      </c>
      <c r="K21" s="23">
        <v>0</v>
      </c>
      <c r="L21" s="1">
        <v>1</v>
      </c>
      <c r="M21" s="27">
        <f>IFERROR(__xludf.DUMMYFUNCTION("GOOGLEFINANCE(I21, ""price"")"),79.42)</f>
        <v>79.42</v>
      </c>
      <c r="N21" s="11">
        <f t="shared" si="15"/>
        <v>0</v>
      </c>
      <c r="O21" s="1" t="s">
        <v>19</v>
      </c>
      <c r="P21" s="1">
        <v>8.379</v>
      </c>
      <c r="Q21" s="11">
        <f t="shared" si="16"/>
        <v>0</v>
      </c>
      <c r="R21" s="4">
        <f t="shared" ref="R21:R23" si="17">N21/$C$3</f>
        <v>0</v>
      </c>
      <c r="S21" s="1">
        <v>1</v>
      </c>
      <c r="T21" s="29">
        <v>0.07</v>
      </c>
      <c r="U21" s="21">
        <f t="shared" ref="U21:U31" si="18">N20/$C$3*T20</f>
        <v>0</v>
      </c>
    </row>
    <row r="22" customHeight="1" spans="1:21">
      <c r="A22" s="1" t="s">
        <v>67</v>
      </c>
      <c r="B22" s="20">
        <f>319067-23999/1.3459+95000/1.3092+104193/1.2851+188888*0.78+11112/1.3078+0.77*20000+43000+54898.73</f>
        <v>724005.025646618</v>
      </c>
      <c r="C22" s="20">
        <f>788888+11112+20000+55158+70000</f>
        <v>945158</v>
      </c>
      <c r="H22" s="1" t="s">
        <v>36</v>
      </c>
      <c r="I22" s="1" t="s">
        <v>68</v>
      </c>
      <c r="J22" s="1" t="s">
        <v>66</v>
      </c>
      <c r="K22" s="23">
        <v>400</v>
      </c>
      <c r="L22" s="1">
        <v>1</v>
      </c>
      <c r="M22" s="27">
        <f>IFERROR(__xludf.DUMMYFUNCTION("GOOGLEFINANCE(I22, ""price"")"),108.73)</f>
        <v>108.73</v>
      </c>
      <c r="N22" s="11">
        <f t="shared" si="15"/>
        <v>43492</v>
      </c>
      <c r="O22" s="1" t="s">
        <v>19</v>
      </c>
      <c r="P22" s="1">
        <v>8.379</v>
      </c>
      <c r="Q22" s="11">
        <f t="shared" si="16"/>
        <v>47780.1846073161</v>
      </c>
      <c r="R22" s="4">
        <f t="shared" si="17"/>
        <v>0.0564636372490821</v>
      </c>
      <c r="S22" s="1">
        <v>1</v>
      </c>
      <c r="T22" s="29">
        <v>0.07</v>
      </c>
      <c r="U22" s="21">
        <f t="shared" si="18"/>
        <v>0</v>
      </c>
    </row>
    <row r="23" customHeight="1" spans="1:21">
      <c r="A23" s="1" t="s">
        <v>69</v>
      </c>
      <c r="B23" s="11">
        <f>C3-B22</f>
        <v>46260.6199783819</v>
      </c>
      <c r="C23" s="11">
        <f>C4-C22</f>
        <v>42476.6114465354</v>
      </c>
      <c r="H23" s="1" t="s">
        <v>36</v>
      </c>
      <c r="I23" s="1" t="s">
        <v>70</v>
      </c>
      <c r="J23" s="1" t="s">
        <v>36</v>
      </c>
      <c r="K23" s="23">
        <v>0</v>
      </c>
      <c r="L23" s="1">
        <v>1</v>
      </c>
      <c r="M23" s="27">
        <f>IFERROR(__xludf.DUMMYFUNCTION("GOOGLEFINANCE(I23, ""price"")"),86.84)</f>
        <v>86.84</v>
      </c>
      <c r="N23" s="11">
        <f t="shared" si="15"/>
        <v>0</v>
      </c>
      <c r="O23" s="1" t="s">
        <v>19</v>
      </c>
      <c r="P23" s="1">
        <v>15.95</v>
      </c>
      <c r="Q23" s="11">
        <f t="shared" si="16"/>
        <v>0</v>
      </c>
      <c r="R23" s="4">
        <f t="shared" si="17"/>
        <v>0</v>
      </c>
      <c r="S23" s="1">
        <v>1</v>
      </c>
      <c r="T23" s="29">
        <v>0</v>
      </c>
      <c r="U23" s="21">
        <f t="shared" si="18"/>
        <v>0.00395245460743575</v>
      </c>
    </row>
    <row r="24" customHeight="1" spans="1:21">
      <c r="A24" s="1" t="s">
        <v>71</v>
      </c>
      <c r="B24" s="4">
        <f t="shared" ref="B24:C24" si="19">B23/B22</f>
        <v>0.0638954404177871</v>
      </c>
      <c r="C24" s="4">
        <f t="shared" si="19"/>
        <v>0.0449412811895318</v>
      </c>
      <c r="H24" s="1" t="s">
        <v>36</v>
      </c>
      <c r="I24" s="1" t="s">
        <v>72</v>
      </c>
      <c r="J24" s="1" t="s">
        <v>73</v>
      </c>
      <c r="K24" s="23">
        <v>1</v>
      </c>
      <c r="L24" s="1">
        <v>1000</v>
      </c>
      <c r="M24" s="11">
        <f>IFERROR(__xludf.DUMMYFUNCTION("IMPORTXML(""https://www.google.com/finance/quote/""&amp;I24&amp;""?hl=en"", ""//div[@class='YMlKec fxKbKc']"")"),110.69)</f>
        <v>110.69</v>
      </c>
      <c r="N24" s="11">
        <f t="shared" si="15"/>
        <v>110690</v>
      </c>
      <c r="O24" s="1" t="s">
        <v>62</v>
      </c>
      <c r="P24" s="28">
        <v>7.627</v>
      </c>
      <c r="Q24" s="11">
        <f t="shared" si="16"/>
        <v>110690</v>
      </c>
      <c r="R24" s="4">
        <f t="shared" ref="R24:R31" si="20">Q24/$C$3</f>
        <v>0.143703669803663</v>
      </c>
      <c r="S24" s="1">
        <v>1</v>
      </c>
      <c r="T24" s="29">
        <v>0.07</v>
      </c>
      <c r="U24" s="21">
        <f t="shared" si="18"/>
        <v>0</v>
      </c>
    </row>
    <row r="25" customHeight="1" spans="8:21">
      <c r="H25" s="1" t="s">
        <v>36</v>
      </c>
      <c r="I25" s="1" t="s">
        <v>74</v>
      </c>
      <c r="J25" s="1" t="s">
        <v>75</v>
      </c>
      <c r="K25" s="23">
        <v>4</v>
      </c>
      <c r="L25" s="1">
        <v>1000</v>
      </c>
      <c r="M25" s="11">
        <f>IFERROR(__xludf.DUMMYFUNCTION("IMPORTXML(""https://www.google.com/finance/quote/""&amp;I25&amp;""?hl=en"", ""//div[@class='YMlKec fxKbKc']"")"),107.86)</f>
        <v>107.86</v>
      </c>
      <c r="N25" s="11">
        <f t="shared" si="15"/>
        <v>431440</v>
      </c>
      <c r="O25" s="1" t="s">
        <v>62</v>
      </c>
      <c r="P25" s="28">
        <v>4.333</v>
      </c>
      <c r="Q25" s="11">
        <f t="shared" si="16"/>
        <v>245106.794283467</v>
      </c>
      <c r="R25" s="4">
        <f t="shared" si="20"/>
        <v>0.318210731162215</v>
      </c>
      <c r="S25" s="1">
        <v>1</v>
      </c>
      <c r="T25" s="29">
        <v>0.04</v>
      </c>
      <c r="U25" s="21">
        <f t="shared" si="18"/>
        <v>0.0100592568862564</v>
      </c>
    </row>
    <row r="26" customHeight="1" spans="8:21">
      <c r="H26" s="1" t="s">
        <v>36</v>
      </c>
      <c r="I26" s="1" t="s">
        <v>76</v>
      </c>
      <c r="J26" s="1" t="s">
        <v>77</v>
      </c>
      <c r="K26" s="23">
        <v>6</v>
      </c>
      <c r="L26" s="1">
        <v>2000</v>
      </c>
      <c r="M26" s="11">
        <f>IFERROR(__xludf.DUMMYFUNCTION("IMPORTXML(""https://www.google.com/finance/quote/""&amp;I26&amp;""?hl=en"", ""//div[@class='YMlKec fxKbKc']"")"),103.52)</f>
        <v>103.52</v>
      </c>
      <c r="N26" s="11">
        <f t="shared" si="15"/>
        <v>1242240</v>
      </c>
      <c r="O26" s="1" t="s">
        <v>62</v>
      </c>
      <c r="P26" s="28">
        <v>1.879</v>
      </c>
      <c r="Q26" s="11">
        <f t="shared" si="16"/>
        <v>306040.246492723</v>
      </c>
      <c r="R26" s="4">
        <f t="shared" si="20"/>
        <v>0.397317793193801</v>
      </c>
      <c r="S26" s="1">
        <v>1</v>
      </c>
      <c r="T26" s="29">
        <v>0.02</v>
      </c>
      <c r="U26" s="21">
        <f t="shared" si="18"/>
        <v>0.0224047380251485</v>
      </c>
    </row>
    <row r="27" customHeight="1" spans="1:21">
      <c r="A27" s="1" t="s">
        <v>78</v>
      </c>
      <c r="B27" s="1" t="s">
        <v>79</v>
      </c>
      <c r="C27" s="1" t="s">
        <v>80</v>
      </c>
      <c r="H27" s="1" t="s">
        <v>36</v>
      </c>
      <c r="I27" s="1" t="s">
        <v>81</v>
      </c>
      <c r="J27" s="1" t="s">
        <v>82</v>
      </c>
      <c r="K27" s="23">
        <v>0</v>
      </c>
      <c r="L27" s="1">
        <v>1000</v>
      </c>
      <c r="M27" s="23">
        <v>119.28</v>
      </c>
      <c r="N27" s="11">
        <f t="shared" si="15"/>
        <v>0</v>
      </c>
      <c r="O27" s="1" t="s">
        <v>62</v>
      </c>
      <c r="P27" s="1">
        <v>8.061</v>
      </c>
      <c r="Q27" s="11">
        <f t="shared" si="16"/>
        <v>0</v>
      </c>
      <c r="R27" s="4">
        <f t="shared" si="20"/>
        <v>0</v>
      </c>
      <c r="S27" s="11">
        <f>J47</f>
        <v>1.157155</v>
      </c>
      <c r="T27" s="29">
        <v>0.07</v>
      </c>
      <c r="U27" s="21">
        <f t="shared" si="18"/>
        <v>0.0322548462872711</v>
      </c>
    </row>
    <row r="28" customHeight="1" spans="1:21">
      <c r="A28" s="1" t="s">
        <v>83</v>
      </c>
      <c r="B28" s="21">
        <v>0.121</v>
      </c>
      <c r="C28" s="20">
        <v>80000</v>
      </c>
      <c r="H28" s="1" t="s">
        <v>36</v>
      </c>
      <c r="I28" s="1" t="s">
        <v>84</v>
      </c>
      <c r="J28" s="1" t="s">
        <v>85</v>
      </c>
      <c r="K28" s="23">
        <v>0</v>
      </c>
      <c r="L28" s="1">
        <v>1000</v>
      </c>
      <c r="M28" s="23">
        <v>108.075</v>
      </c>
      <c r="N28" s="11">
        <f t="shared" si="15"/>
        <v>0</v>
      </c>
      <c r="O28" s="1" t="s">
        <v>62</v>
      </c>
      <c r="P28" s="1">
        <v>2</v>
      </c>
      <c r="Q28" s="11">
        <f t="shared" si="16"/>
        <v>0</v>
      </c>
      <c r="R28" s="4">
        <f t="shared" si="20"/>
        <v>0</v>
      </c>
      <c r="S28" s="11">
        <f>J47</f>
        <v>1.157155</v>
      </c>
      <c r="T28" s="29">
        <v>0.02</v>
      </c>
      <c r="U28" s="21">
        <f t="shared" si="18"/>
        <v>0</v>
      </c>
    </row>
    <row r="29" customHeight="1" spans="1:21">
      <c r="A29" s="1" t="s">
        <v>86</v>
      </c>
      <c r="B29" s="4">
        <f>C29/(C4-C29)</f>
        <v>-0.0366025418066918</v>
      </c>
      <c r="C29" s="11">
        <f>C23-SUM(C$28:C28)</f>
        <v>-37523.3885534646</v>
      </c>
      <c r="H29" s="1" t="s">
        <v>36</v>
      </c>
      <c r="I29" s="1" t="s">
        <v>87</v>
      </c>
      <c r="J29" s="1" t="s">
        <v>88</v>
      </c>
      <c r="K29" s="23">
        <v>0</v>
      </c>
      <c r="L29" s="1">
        <v>1000</v>
      </c>
      <c r="M29" s="23">
        <v>120.65</v>
      </c>
      <c r="N29" s="11">
        <f t="shared" si="15"/>
        <v>0</v>
      </c>
      <c r="O29" s="1" t="s">
        <v>62</v>
      </c>
      <c r="P29" s="1">
        <v>7.929</v>
      </c>
      <c r="Q29" s="11">
        <f t="shared" si="16"/>
        <v>0</v>
      </c>
      <c r="R29" s="4">
        <f t="shared" si="20"/>
        <v>0</v>
      </c>
      <c r="S29" s="11">
        <f>J47</f>
        <v>1.157155</v>
      </c>
      <c r="T29" s="29">
        <v>0.07</v>
      </c>
      <c r="U29" s="21">
        <f t="shared" si="18"/>
        <v>0</v>
      </c>
    </row>
    <row r="30" customHeight="1" spans="8:21">
      <c r="H30" s="1" t="s">
        <v>36</v>
      </c>
      <c r="I30" s="1" t="s">
        <v>89</v>
      </c>
      <c r="J30" s="1" t="s">
        <v>90</v>
      </c>
      <c r="K30" s="23">
        <v>0</v>
      </c>
      <c r="L30" s="1">
        <v>1000</v>
      </c>
      <c r="M30" s="23">
        <v>90.48</v>
      </c>
      <c r="N30" s="11">
        <f t="shared" si="15"/>
        <v>0</v>
      </c>
      <c r="O30" s="1" t="s">
        <v>62</v>
      </c>
      <c r="P30" s="1">
        <v>8.068</v>
      </c>
      <c r="Q30" s="11">
        <f t="shared" si="16"/>
        <v>0</v>
      </c>
      <c r="R30" s="4">
        <f t="shared" si="20"/>
        <v>0</v>
      </c>
      <c r="S30" s="11">
        <f t="shared" ref="S30:S31" si="21">J49</f>
        <v>1.3367</v>
      </c>
      <c r="T30" s="29">
        <v>0.07</v>
      </c>
      <c r="U30" s="21">
        <f t="shared" si="18"/>
        <v>0</v>
      </c>
    </row>
    <row r="31" customHeight="1" spans="8:21">
      <c r="H31" s="1" t="s">
        <v>36</v>
      </c>
      <c r="I31" s="1" t="s">
        <v>91</v>
      </c>
      <c r="J31" s="1" t="s">
        <v>92</v>
      </c>
      <c r="K31" s="23">
        <v>0</v>
      </c>
      <c r="L31" s="1">
        <v>10000</v>
      </c>
      <c r="M31" s="23">
        <v>95.655</v>
      </c>
      <c r="N31" s="11">
        <f t="shared" si="15"/>
        <v>0</v>
      </c>
      <c r="O31" s="1" t="s">
        <v>62</v>
      </c>
      <c r="P31" s="1">
        <v>1</v>
      </c>
      <c r="Q31" s="11">
        <f t="shared" si="16"/>
        <v>0</v>
      </c>
      <c r="R31" s="4">
        <f t="shared" si="20"/>
        <v>0</v>
      </c>
      <c r="S31" s="11">
        <f t="shared" si="21"/>
        <v>0.695099999999999</v>
      </c>
      <c r="T31" s="29">
        <v>0.01</v>
      </c>
      <c r="U31" s="21">
        <f t="shared" si="18"/>
        <v>0</v>
      </c>
    </row>
    <row r="32" customHeight="1" spans="21:21">
      <c r="U32" s="21"/>
    </row>
    <row r="33" customHeight="1" spans="8:21">
      <c r="H33" s="1" t="s">
        <v>40</v>
      </c>
      <c r="I33" s="1" t="s">
        <v>93</v>
      </c>
      <c r="J33" s="1" t="s">
        <v>94</v>
      </c>
      <c r="K33" s="23">
        <v>150</v>
      </c>
      <c r="L33" s="1">
        <v>1</v>
      </c>
      <c r="M33" s="27">
        <f>IFERROR(__xludf.DUMMYFUNCTION("GOOGLEFINANCE(I33, ""price"")"),416.29)</f>
        <v>416.29</v>
      </c>
      <c r="N33" s="11">
        <f t="shared" ref="N33:N39" si="22">K33*L33*M33*S33</f>
        <v>62443.5</v>
      </c>
      <c r="O33" s="1" t="s">
        <v>19</v>
      </c>
      <c r="P33" s="1">
        <v>1</v>
      </c>
      <c r="Q33" s="11"/>
      <c r="R33" s="4">
        <f t="shared" ref="R33:R39" si="23">N33/$C$3</f>
        <v>0.0810674867231458</v>
      </c>
      <c r="S33" s="1">
        <v>1</v>
      </c>
      <c r="T33" s="29">
        <v>0.2</v>
      </c>
      <c r="U33" s="21">
        <f t="shared" ref="U33:U37" si="24">N33/$C$3*T33</f>
        <v>0.0162134973446292</v>
      </c>
    </row>
    <row r="34" customHeight="1" spans="3:21">
      <c r="C34" s="1"/>
      <c r="H34" s="1" t="s">
        <v>40</v>
      </c>
      <c r="I34" s="1" t="s">
        <v>95</v>
      </c>
      <c r="J34" s="1" t="s">
        <v>96</v>
      </c>
      <c r="K34" s="23">
        <v>0</v>
      </c>
      <c r="L34" s="1">
        <v>1</v>
      </c>
      <c r="M34" s="27">
        <f>IFERROR(__xludf.DUMMYFUNCTION("GOOGLEFINANCE(I34, ""price"")"),65.21)</f>
        <v>65.21</v>
      </c>
      <c r="N34" s="11">
        <f t="shared" si="22"/>
        <v>0</v>
      </c>
      <c r="O34" s="1" t="s">
        <v>19</v>
      </c>
      <c r="P34" s="1">
        <v>1</v>
      </c>
      <c r="Q34" s="11"/>
      <c r="R34" s="4">
        <f t="shared" si="23"/>
        <v>0</v>
      </c>
      <c r="S34" s="1">
        <v>1</v>
      </c>
      <c r="T34" s="29">
        <v>0.2</v>
      </c>
      <c r="U34" s="21">
        <f t="shared" si="24"/>
        <v>0</v>
      </c>
    </row>
    <row r="35" customHeight="1" spans="8:21">
      <c r="H35" s="1" t="s">
        <v>40</v>
      </c>
      <c r="I35" s="1" t="s">
        <v>97</v>
      </c>
      <c r="J35" s="1" t="s">
        <v>98</v>
      </c>
      <c r="K35" s="23">
        <v>0</v>
      </c>
      <c r="L35" s="1">
        <v>1</v>
      </c>
      <c r="M35" s="27">
        <f>IFERROR(__xludf.DUMMYFUNCTION("GOOGLEFINANCE(I35, ""price"")"),86.32)</f>
        <v>86.32</v>
      </c>
      <c r="N35" s="11">
        <f t="shared" si="22"/>
        <v>0</v>
      </c>
      <c r="O35" s="1" t="s">
        <v>19</v>
      </c>
      <c r="P35" s="1">
        <v>1</v>
      </c>
      <c r="Q35" s="11"/>
      <c r="R35" s="4">
        <f t="shared" si="23"/>
        <v>0</v>
      </c>
      <c r="S35" s="1">
        <v>1</v>
      </c>
      <c r="T35" s="29">
        <v>0.35</v>
      </c>
      <c r="U35" s="21">
        <f t="shared" si="24"/>
        <v>0</v>
      </c>
    </row>
    <row r="36" customHeight="1" spans="8:21">
      <c r="H36" s="1" t="s">
        <v>43</v>
      </c>
      <c r="I36" s="1" t="s">
        <v>99</v>
      </c>
      <c r="J36" s="1" t="s">
        <v>100</v>
      </c>
      <c r="K36" s="23">
        <v>200</v>
      </c>
      <c r="L36" s="1">
        <v>1</v>
      </c>
      <c r="M36" s="27">
        <f>IFERROR(__xludf.DUMMYFUNCTION("GOOGLEFINANCE(I36, ""price"")"),75.64)</f>
        <v>75.64</v>
      </c>
      <c r="N36" s="11">
        <f t="shared" si="22"/>
        <v>15128</v>
      </c>
      <c r="O36" s="1" t="s">
        <v>19</v>
      </c>
      <c r="P36" s="1">
        <v>1</v>
      </c>
      <c r="Q36" s="11"/>
      <c r="R36" s="4">
        <f t="shared" si="23"/>
        <v>0.0196399775660837</v>
      </c>
      <c r="S36" s="1">
        <v>1</v>
      </c>
      <c r="T36" s="29">
        <v>0.35</v>
      </c>
      <c r="U36" s="21">
        <f t="shared" si="24"/>
        <v>0.0068739921481293</v>
      </c>
    </row>
    <row r="37" customHeight="1" spans="8:21">
      <c r="H37" s="1" t="s">
        <v>43</v>
      </c>
      <c r="I37" s="1" t="s">
        <v>101</v>
      </c>
      <c r="J37" s="1" t="s">
        <v>102</v>
      </c>
      <c r="K37" s="23">
        <v>0</v>
      </c>
      <c r="L37" s="1">
        <v>100</v>
      </c>
      <c r="M37" s="11">
        <f>IFERROR(__xludf.DUMMYFUNCTION("IMPORTXML(""https://www.google.com/finance/quote/CLW00:NYMEX?hl=en"", ""//div[@class='YMlKec fxKbKc']"")"),91.74)</f>
        <v>91.74</v>
      </c>
      <c r="N37" s="11">
        <f t="shared" si="22"/>
        <v>0</v>
      </c>
      <c r="O37" s="1" t="s">
        <v>62</v>
      </c>
      <c r="P37" s="1">
        <v>1</v>
      </c>
      <c r="Q37" s="11"/>
      <c r="R37" s="4">
        <f t="shared" si="23"/>
        <v>0</v>
      </c>
      <c r="S37" s="1">
        <v>1</v>
      </c>
      <c r="T37" s="29">
        <v>0.3</v>
      </c>
      <c r="U37" s="21">
        <f t="shared" si="24"/>
        <v>0</v>
      </c>
    </row>
    <row r="38" customHeight="1" spans="8:21">
      <c r="H38" s="1" t="s">
        <v>43</v>
      </c>
      <c r="I38" s="1" t="s">
        <v>103</v>
      </c>
      <c r="J38" s="1" t="s">
        <v>104</v>
      </c>
      <c r="K38" s="23">
        <v>0</v>
      </c>
      <c r="L38" s="1">
        <v>10000</v>
      </c>
      <c r="M38" s="11">
        <f>IFERROR(__xludf.DUMMYFUNCTION("IMPORTXML(""https://www.google.com/finance/quote/NGW00:NYMEX?hl=en"", ""//div[@class='YMlKec fxKbKc']"")"),2.92)</f>
        <v>2.92</v>
      </c>
      <c r="N38" s="11">
        <f t="shared" si="22"/>
        <v>0</v>
      </c>
      <c r="O38" s="1" t="s">
        <v>62</v>
      </c>
      <c r="P38" s="1">
        <v>1</v>
      </c>
      <c r="Q38" s="11"/>
      <c r="R38" s="4">
        <f t="shared" si="23"/>
        <v>0</v>
      </c>
      <c r="S38" s="1">
        <v>1</v>
      </c>
      <c r="T38" s="29">
        <v>0.3</v>
      </c>
      <c r="U38" s="21">
        <f>ABS(N38)/$C$3*T38</f>
        <v>0</v>
      </c>
    </row>
    <row r="39" customHeight="1" spans="8:21">
      <c r="H39" s="1" t="s">
        <v>43</v>
      </c>
      <c r="I39" s="1" t="s">
        <v>105</v>
      </c>
      <c r="J39" s="1" t="s">
        <v>104</v>
      </c>
      <c r="K39" s="23">
        <v>0</v>
      </c>
      <c r="L39" s="1">
        <v>10000</v>
      </c>
      <c r="M39" s="11">
        <f>IFERROR(__xludf.DUMMYFUNCTION("IMPORTXML(""https://www.google.com/finance/quote/NGW00:NYMEX?hl=en"", ""//div[@class='YMlKec fxKbKc']"")"),2.92)</f>
        <v>2.92</v>
      </c>
      <c r="N39" s="11">
        <f t="shared" si="22"/>
        <v>0</v>
      </c>
      <c r="O39" s="1" t="s">
        <v>62</v>
      </c>
      <c r="P39" s="1">
        <v>1</v>
      </c>
      <c r="Q39" s="11"/>
      <c r="R39" s="4">
        <f t="shared" si="23"/>
        <v>0</v>
      </c>
      <c r="S39" s="1">
        <v>1</v>
      </c>
      <c r="T39" s="29">
        <v>0.3</v>
      </c>
      <c r="U39" s="21">
        <f>N39/$C$3*T39</f>
        <v>0</v>
      </c>
    </row>
    <row r="41" customHeight="1" spans="8:21">
      <c r="H41" s="1" t="s">
        <v>48</v>
      </c>
      <c r="I41" s="1" t="s">
        <v>106</v>
      </c>
      <c r="J41" s="1" t="s">
        <v>107</v>
      </c>
      <c r="K41" s="23">
        <v>200</v>
      </c>
      <c r="L41" s="1">
        <v>1</v>
      </c>
      <c r="M41" s="27">
        <f>IFERROR(__xludf.DUMMYFUNCTION("GOOGLEFINANCE(I41, ""price"")"),126.36)</f>
        <v>126.36</v>
      </c>
      <c r="N41" s="11">
        <f t="shared" ref="N41:N42" si="25">K41*L41*M41*S41</f>
        <v>25272</v>
      </c>
      <c r="O41" s="1" t="s">
        <v>19</v>
      </c>
      <c r="P41" s="1">
        <v>1</v>
      </c>
      <c r="Q41" s="4"/>
      <c r="R41" s="4">
        <f t="shared" ref="R41:R42" si="26">N41/$C$3</f>
        <v>0.0328094601434471</v>
      </c>
      <c r="S41" s="1">
        <v>1</v>
      </c>
      <c r="T41" s="31">
        <v>0.2</v>
      </c>
      <c r="U41" s="21">
        <f t="shared" ref="U41:U42" si="27">N41/$C$3*T41</f>
        <v>0.00656189202868942</v>
      </c>
    </row>
    <row r="42" customHeight="1" spans="8:21">
      <c r="H42" s="1" t="s">
        <v>48</v>
      </c>
      <c r="I42" s="1" t="s">
        <v>108</v>
      </c>
      <c r="J42" s="1" t="s">
        <v>107</v>
      </c>
      <c r="K42" s="23">
        <v>300</v>
      </c>
      <c r="L42" s="1">
        <v>1</v>
      </c>
      <c r="M42" s="27">
        <f>IFERROR(__xludf.DUMMYFUNCTION("GOOGLEFINANCE(I42, ""price"")"),29.91)</f>
        <v>29.91</v>
      </c>
      <c r="N42" s="11">
        <f t="shared" si="25"/>
        <v>8973</v>
      </c>
      <c r="O42" s="1" t="s">
        <v>19</v>
      </c>
      <c r="P42" s="1">
        <v>1</v>
      </c>
      <c r="Q42" s="4"/>
      <c r="R42" s="4">
        <f t="shared" si="26"/>
        <v>0.0116492278358322</v>
      </c>
      <c r="S42" s="1">
        <v>1</v>
      </c>
      <c r="T42" s="31">
        <v>0.2</v>
      </c>
      <c r="U42" s="21">
        <f t="shared" si="27"/>
        <v>0.00232984556716644</v>
      </c>
    </row>
    <row r="43" customHeight="1" spans="12:21">
      <c r="L43" s="4"/>
      <c r="M43" s="4"/>
      <c r="U43" s="4"/>
    </row>
    <row r="44" customHeight="1" spans="12:21">
      <c r="L44" s="4"/>
      <c r="M44" s="4"/>
      <c r="U44" s="4"/>
    </row>
    <row r="45" customHeight="1" spans="12:21">
      <c r="L45" s="4"/>
      <c r="M45" s="4"/>
      <c r="U45" s="4"/>
    </row>
    <row r="46" customHeight="1" spans="10:21">
      <c r="J46" s="1" t="s">
        <v>11</v>
      </c>
      <c r="L46" s="4"/>
      <c r="M46" s="4"/>
      <c r="U46" s="4"/>
    </row>
    <row r="47" customHeight="1" spans="9:21">
      <c r="I47" s="1" t="s">
        <v>109</v>
      </c>
      <c r="J47" s="26">
        <f>IFERROR(__xludf.DUMMYFUNCTION("GOOGLEFINANCE(I47)"),1.157155)</f>
        <v>1.157155</v>
      </c>
      <c r="L47" s="4"/>
      <c r="M47" s="4"/>
      <c r="U47" s="4"/>
    </row>
    <row r="48" customHeight="1" spans="9:21">
      <c r="I48" s="1" t="s">
        <v>110</v>
      </c>
      <c r="J48" s="26">
        <f>IFERROR(__xludf.DUMMYFUNCTION("GOOGLEFINANCE(I48)"),0.77990953)</f>
        <v>0.77990953</v>
      </c>
      <c r="L48" s="4"/>
      <c r="M48" s="4"/>
      <c r="U48" s="4"/>
    </row>
    <row r="49" customHeight="1" spans="9:21">
      <c r="I49" s="1" t="s">
        <v>111</v>
      </c>
      <c r="J49" s="26">
        <f>IFERROR(__xludf.DUMMYFUNCTION("GOOGLEFINANCE(I49)"),1.3367)</f>
        <v>1.3367</v>
      </c>
      <c r="L49" s="4"/>
      <c r="M49" s="4"/>
      <c r="U49" s="4"/>
    </row>
    <row r="50" customHeight="1" spans="9:21">
      <c r="I50" s="1" t="s">
        <v>112</v>
      </c>
      <c r="J50" s="26">
        <f>IFERROR(__xludf.DUMMYFUNCTION("GOOGLEFINANCE(I50)"),0.695099999999999)</f>
        <v>0.695099999999999</v>
      </c>
      <c r="L50" s="4"/>
      <c r="M50" s="4"/>
      <c r="U50" s="4"/>
    </row>
    <row r="51" customHeight="1" spans="12:21">
      <c r="L51" s="4"/>
      <c r="M51" s="4"/>
      <c r="U51" s="4"/>
    </row>
    <row r="52" customHeight="1" spans="12:21">
      <c r="L52" s="4"/>
      <c r="M52" s="4"/>
      <c r="U52" s="4"/>
    </row>
    <row r="53" customHeight="1" spans="12:21">
      <c r="L53" s="4"/>
      <c r="M53" s="4"/>
      <c r="U53" s="4"/>
    </row>
    <row r="54" customHeight="1" spans="12:21">
      <c r="L54" s="4"/>
      <c r="M54" s="4"/>
      <c r="U54" s="4"/>
    </row>
    <row r="55" customHeight="1" spans="12:21">
      <c r="L55" s="4"/>
      <c r="M55" s="4"/>
      <c r="U55" s="4"/>
    </row>
    <row r="56" customHeight="1" spans="12:21">
      <c r="L56" s="4"/>
      <c r="M56" s="4"/>
      <c r="U56" s="4"/>
    </row>
    <row r="57" customHeight="1" spans="12:21">
      <c r="L57" s="4"/>
      <c r="M57" s="4"/>
      <c r="U57" s="4"/>
    </row>
    <row r="58" customHeight="1" spans="12:21">
      <c r="L58" s="4"/>
      <c r="M58" s="4"/>
      <c r="U58" s="4"/>
    </row>
    <row r="59" customHeight="1" spans="12:21">
      <c r="L59" s="4"/>
      <c r="M59" s="4"/>
      <c r="U59" s="4"/>
    </row>
    <row r="60" customHeight="1" spans="12:21">
      <c r="L60" s="4"/>
      <c r="M60" s="4"/>
      <c r="U60" s="4"/>
    </row>
    <row r="61" customHeight="1" spans="12:21">
      <c r="L61" s="4"/>
      <c r="M61" s="4"/>
      <c r="U61" s="4"/>
    </row>
    <row r="62" customHeight="1" spans="12:21">
      <c r="L62" s="4"/>
      <c r="M62" s="4"/>
      <c r="U62" s="4"/>
    </row>
    <row r="63" customHeight="1" spans="12:21">
      <c r="L63" s="4"/>
      <c r="M63" s="4"/>
      <c r="U63" s="4"/>
    </row>
    <row r="64" customHeight="1" spans="12:21">
      <c r="L64" s="4"/>
      <c r="M64" s="4"/>
      <c r="U64" s="4"/>
    </row>
    <row r="65" customHeight="1" spans="12:21">
      <c r="L65" s="4"/>
      <c r="M65" s="4"/>
      <c r="U65" s="4"/>
    </row>
    <row r="66" customHeight="1" spans="12:21">
      <c r="L66" s="4"/>
      <c r="M66" s="4"/>
      <c r="U66" s="4"/>
    </row>
    <row r="67" customHeight="1" spans="12:21">
      <c r="L67" s="4"/>
      <c r="M67" s="4"/>
      <c r="U67" s="4"/>
    </row>
    <row r="68" customHeight="1" spans="12:21">
      <c r="L68" s="4"/>
      <c r="M68" s="4"/>
      <c r="U68" s="4"/>
    </row>
    <row r="69" customHeight="1" spans="12:21">
      <c r="L69" s="4"/>
      <c r="M69" s="4"/>
      <c r="U69" s="4"/>
    </row>
    <row r="70" customHeight="1" spans="12:21">
      <c r="L70" s="4"/>
      <c r="M70" s="4"/>
      <c r="U70" s="4"/>
    </row>
    <row r="71" customHeight="1" spans="12:21">
      <c r="L71" s="4"/>
      <c r="M71" s="4"/>
      <c r="U71" s="4"/>
    </row>
    <row r="72" customHeight="1" spans="12:21">
      <c r="L72" s="4"/>
      <c r="M72" s="4"/>
      <c r="U72" s="4"/>
    </row>
    <row r="73" customHeight="1" spans="12:21">
      <c r="L73" s="4"/>
      <c r="M73" s="4"/>
      <c r="U73" s="4"/>
    </row>
    <row r="74" customHeight="1" spans="12:21">
      <c r="L74" s="4"/>
      <c r="M74" s="4"/>
      <c r="U74" s="4"/>
    </row>
    <row r="75" customHeight="1" spans="12:21">
      <c r="L75" s="4"/>
      <c r="M75" s="4"/>
      <c r="U75" s="4"/>
    </row>
    <row r="76" customHeight="1" spans="12:21">
      <c r="L76" s="4"/>
      <c r="M76" s="4"/>
      <c r="U76" s="4"/>
    </row>
    <row r="77" customHeight="1" spans="12:21">
      <c r="L77" s="4"/>
      <c r="M77" s="4"/>
      <c r="U77" s="4"/>
    </row>
    <row r="78" customHeight="1" spans="12:21">
      <c r="L78" s="4"/>
      <c r="M78" s="4"/>
      <c r="U78" s="4"/>
    </row>
    <row r="79" customHeight="1" spans="12:21">
      <c r="L79" s="4"/>
      <c r="M79" s="4"/>
      <c r="U79" s="4"/>
    </row>
    <row r="80" customHeight="1" spans="12:21">
      <c r="L80" s="4"/>
      <c r="M80" s="4"/>
      <c r="U80" s="4"/>
    </row>
    <row r="81" customHeight="1" spans="12:21">
      <c r="L81" s="4"/>
      <c r="M81" s="4"/>
      <c r="U81" s="4"/>
    </row>
    <row r="82" customHeight="1" spans="12:21">
      <c r="L82" s="4"/>
      <c r="M82" s="4"/>
      <c r="U82" s="4"/>
    </row>
    <row r="83" customHeight="1" spans="12:21">
      <c r="L83" s="4"/>
      <c r="M83" s="4"/>
      <c r="U83" s="4"/>
    </row>
    <row r="84" customHeight="1" spans="12:21">
      <c r="L84" s="4"/>
      <c r="M84" s="4"/>
      <c r="U84" s="4"/>
    </row>
    <row r="85" customHeight="1" spans="12:21">
      <c r="L85" s="4"/>
      <c r="M85" s="4"/>
      <c r="U85" s="4"/>
    </row>
    <row r="86" customHeight="1" spans="12:21">
      <c r="L86" s="4"/>
      <c r="M86" s="4"/>
      <c r="U86" s="4"/>
    </row>
    <row r="87" customHeight="1" spans="12:21">
      <c r="L87" s="4"/>
      <c r="M87" s="4"/>
      <c r="U87" s="4"/>
    </row>
    <row r="88" customHeight="1" spans="12:21">
      <c r="L88" s="4"/>
      <c r="M88" s="4"/>
      <c r="U88" s="4"/>
    </row>
    <row r="89" customHeight="1" spans="12:21">
      <c r="L89" s="4"/>
      <c r="M89" s="4"/>
      <c r="U89" s="4"/>
    </row>
    <row r="90" customHeight="1" spans="12:21">
      <c r="L90" s="4"/>
      <c r="M90" s="4"/>
      <c r="U90" s="4"/>
    </row>
    <row r="91" customHeight="1" spans="12:21">
      <c r="L91" s="4"/>
      <c r="M91" s="4"/>
      <c r="U91" s="4"/>
    </row>
    <row r="92" customHeight="1" spans="12:21">
      <c r="L92" s="4"/>
      <c r="M92" s="4"/>
      <c r="U92" s="4"/>
    </row>
    <row r="93" customHeight="1" spans="12:21">
      <c r="L93" s="4"/>
      <c r="M93" s="4"/>
      <c r="U93" s="4"/>
    </row>
    <row r="94" customHeight="1" spans="12:21">
      <c r="L94" s="4"/>
      <c r="M94" s="4"/>
      <c r="U94" s="4"/>
    </row>
    <row r="95" customHeight="1" spans="12:21">
      <c r="L95" s="4"/>
      <c r="M95" s="4"/>
      <c r="U95" s="4"/>
    </row>
    <row r="96" customHeight="1" spans="12:21">
      <c r="L96" s="4"/>
      <c r="M96" s="4"/>
      <c r="U96" s="4"/>
    </row>
    <row r="97" customHeight="1" spans="12:21">
      <c r="L97" s="4"/>
      <c r="M97" s="4"/>
      <c r="U97" s="4"/>
    </row>
    <row r="98" customHeight="1" spans="12:21">
      <c r="L98" s="4"/>
      <c r="M98" s="4"/>
      <c r="U98" s="4"/>
    </row>
    <row r="99" customHeight="1" spans="12:21">
      <c r="L99" s="4"/>
      <c r="M99" s="4"/>
      <c r="U99" s="4"/>
    </row>
    <row r="100" customHeight="1" spans="12:21">
      <c r="L100" s="4"/>
      <c r="M100" s="4"/>
      <c r="U100" s="4"/>
    </row>
    <row r="101" customHeight="1" spans="12:21">
      <c r="L101" s="4"/>
      <c r="M101" s="4"/>
      <c r="U101" s="4"/>
    </row>
    <row r="102" customHeight="1" spans="12:21">
      <c r="L102" s="4"/>
      <c r="M102" s="4"/>
      <c r="U102" s="4"/>
    </row>
    <row r="103" customHeight="1" spans="12:21">
      <c r="L103" s="4"/>
      <c r="M103" s="4"/>
      <c r="U103" s="4"/>
    </row>
    <row r="104" customHeight="1" spans="12:21">
      <c r="L104" s="4"/>
      <c r="M104" s="4"/>
      <c r="U104" s="4"/>
    </row>
    <row r="105" customHeight="1" spans="12:21">
      <c r="L105" s="4"/>
      <c r="M105" s="4"/>
      <c r="U105" s="4"/>
    </row>
    <row r="106" customHeight="1" spans="12:21">
      <c r="L106" s="4"/>
      <c r="M106" s="4"/>
      <c r="U106" s="4"/>
    </row>
    <row r="107" customHeight="1" spans="12:21">
      <c r="L107" s="4"/>
      <c r="M107" s="4"/>
      <c r="U107" s="4"/>
    </row>
    <row r="108" customHeight="1" spans="12:21">
      <c r="L108" s="4"/>
      <c r="M108" s="4"/>
      <c r="U108" s="4"/>
    </row>
    <row r="109" customHeight="1" spans="12:21">
      <c r="L109" s="4"/>
      <c r="M109" s="4"/>
      <c r="U109" s="4"/>
    </row>
    <row r="110" customHeight="1" spans="12:21">
      <c r="L110" s="4"/>
      <c r="M110" s="4"/>
      <c r="U110" s="4"/>
    </row>
    <row r="111" customHeight="1" spans="12:21">
      <c r="L111" s="4"/>
      <c r="M111" s="4"/>
      <c r="U111" s="4"/>
    </row>
    <row r="112" customHeight="1" spans="12:21">
      <c r="L112" s="4"/>
      <c r="M112" s="4"/>
      <c r="U112" s="4"/>
    </row>
    <row r="113" customHeight="1" spans="12:21">
      <c r="L113" s="4"/>
      <c r="M113" s="4"/>
      <c r="U113" s="4"/>
    </row>
    <row r="114" customHeight="1" spans="12:21">
      <c r="L114" s="4"/>
      <c r="M114" s="4"/>
      <c r="U114" s="4"/>
    </row>
    <row r="115" customHeight="1" spans="12:21">
      <c r="L115" s="4"/>
      <c r="M115" s="4"/>
      <c r="U115" s="4"/>
    </row>
    <row r="116" customHeight="1" spans="12:21">
      <c r="L116" s="4"/>
      <c r="M116" s="4"/>
      <c r="U116" s="4"/>
    </row>
    <row r="117" customHeight="1" spans="12:21">
      <c r="L117" s="4"/>
      <c r="M117" s="4"/>
      <c r="U117" s="4"/>
    </row>
    <row r="118" customHeight="1" spans="12:21">
      <c r="L118" s="4"/>
      <c r="M118" s="4"/>
      <c r="U118" s="4"/>
    </row>
    <row r="119" customHeight="1" spans="12:21">
      <c r="L119" s="4"/>
      <c r="M119" s="4"/>
      <c r="U119" s="4"/>
    </row>
    <row r="120" customHeight="1" spans="12:21">
      <c r="L120" s="4"/>
      <c r="M120" s="4"/>
      <c r="U120" s="4"/>
    </row>
    <row r="121" customHeight="1" spans="12:21">
      <c r="L121" s="4"/>
      <c r="M121" s="4"/>
      <c r="U121" s="4"/>
    </row>
    <row r="122" customHeight="1" spans="12:21">
      <c r="L122" s="4"/>
      <c r="M122" s="4"/>
      <c r="U122" s="4"/>
    </row>
    <row r="123" customHeight="1" spans="12:21">
      <c r="L123" s="4"/>
      <c r="M123" s="4"/>
      <c r="U123" s="4"/>
    </row>
    <row r="124" customHeight="1" spans="12:21">
      <c r="L124" s="4"/>
      <c r="M124" s="4"/>
      <c r="U124" s="4"/>
    </row>
    <row r="125" customHeight="1" spans="12:21">
      <c r="L125" s="4"/>
      <c r="M125" s="4"/>
      <c r="U125" s="4"/>
    </row>
    <row r="126" customHeight="1" spans="12:21">
      <c r="L126" s="4"/>
      <c r="M126" s="4"/>
      <c r="U126" s="4"/>
    </row>
    <row r="127" customHeight="1" spans="12:21">
      <c r="L127" s="4"/>
      <c r="M127" s="4"/>
      <c r="U127" s="4"/>
    </row>
    <row r="128" customHeight="1" spans="12:21">
      <c r="L128" s="4"/>
      <c r="M128" s="4"/>
      <c r="U128" s="4"/>
    </row>
    <row r="129" customHeight="1" spans="12:21">
      <c r="L129" s="4"/>
      <c r="M129" s="4"/>
      <c r="U129" s="4"/>
    </row>
    <row r="130" customHeight="1" spans="12:21">
      <c r="L130" s="4"/>
      <c r="M130" s="4"/>
      <c r="U130" s="4"/>
    </row>
    <row r="131" customHeight="1" spans="12:21">
      <c r="L131" s="4"/>
      <c r="M131" s="4"/>
      <c r="U131" s="4"/>
    </row>
    <row r="132" customHeight="1" spans="12:21">
      <c r="L132" s="4"/>
      <c r="M132" s="4"/>
      <c r="U132" s="4"/>
    </row>
    <row r="133" customHeight="1" spans="12:21">
      <c r="L133" s="4"/>
      <c r="M133" s="4"/>
      <c r="U133" s="4"/>
    </row>
    <row r="134" customHeight="1" spans="12:21">
      <c r="L134" s="4"/>
      <c r="M134" s="4"/>
      <c r="U134" s="4"/>
    </row>
    <row r="135" customHeight="1" spans="12:21">
      <c r="L135" s="4"/>
      <c r="M135" s="4"/>
      <c r="U135" s="4"/>
    </row>
    <row r="136" customHeight="1" spans="12:21">
      <c r="L136" s="4"/>
      <c r="M136" s="4"/>
      <c r="U136" s="4"/>
    </row>
    <row r="137" customHeight="1" spans="12:21">
      <c r="L137" s="4"/>
      <c r="M137" s="4"/>
      <c r="U137" s="4"/>
    </row>
    <row r="138" customHeight="1" spans="12:21">
      <c r="L138" s="4"/>
      <c r="M138" s="4"/>
      <c r="U138" s="4"/>
    </row>
    <row r="139" customHeight="1" spans="12:21">
      <c r="L139" s="4"/>
      <c r="M139" s="4"/>
      <c r="U139" s="4"/>
    </row>
    <row r="140" customHeight="1" spans="12:21">
      <c r="L140" s="4"/>
      <c r="M140" s="4"/>
      <c r="U140" s="4"/>
    </row>
    <row r="141" customHeight="1" spans="12:21">
      <c r="L141" s="4"/>
      <c r="M141" s="4"/>
      <c r="U141" s="4"/>
    </row>
    <row r="142" customHeight="1" spans="12:21">
      <c r="L142" s="4"/>
      <c r="M142" s="4"/>
      <c r="U142" s="4"/>
    </row>
    <row r="143" customHeight="1" spans="12:21">
      <c r="L143" s="4"/>
      <c r="M143" s="4"/>
      <c r="U143" s="4"/>
    </row>
    <row r="144" customHeight="1" spans="12:21">
      <c r="L144" s="4"/>
      <c r="M144" s="4"/>
      <c r="U144" s="4"/>
    </row>
    <row r="145" customHeight="1" spans="12:21">
      <c r="L145" s="4"/>
      <c r="M145" s="4"/>
      <c r="U145" s="4"/>
    </row>
    <row r="146" customHeight="1" spans="12:21">
      <c r="L146" s="4"/>
      <c r="M146" s="4"/>
      <c r="U146" s="4"/>
    </row>
    <row r="147" customHeight="1" spans="12:21">
      <c r="L147" s="4"/>
      <c r="M147" s="4"/>
      <c r="U147" s="4"/>
    </row>
    <row r="148" customHeight="1" spans="12:21">
      <c r="L148" s="4"/>
      <c r="M148" s="4"/>
      <c r="U148" s="4"/>
    </row>
    <row r="149" customHeight="1" spans="12:21">
      <c r="L149" s="4"/>
      <c r="M149" s="4"/>
      <c r="U149" s="4"/>
    </row>
    <row r="150" customHeight="1" spans="12:21">
      <c r="L150" s="4"/>
      <c r="M150" s="4"/>
      <c r="U150" s="4"/>
    </row>
    <row r="151" customHeight="1" spans="12:21">
      <c r="L151" s="4"/>
      <c r="M151" s="4"/>
      <c r="U151" s="4"/>
    </row>
    <row r="152" customHeight="1" spans="12:21">
      <c r="L152" s="4"/>
      <c r="M152" s="4"/>
      <c r="U152" s="4"/>
    </row>
    <row r="153" customHeight="1" spans="12:21">
      <c r="L153" s="4"/>
      <c r="M153" s="4"/>
      <c r="U153" s="4"/>
    </row>
    <row r="154" customHeight="1" spans="12:21">
      <c r="L154" s="4"/>
      <c r="M154" s="4"/>
      <c r="U154" s="4"/>
    </row>
    <row r="155" customHeight="1" spans="12:21">
      <c r="L155" s="4"/>
      <c r="M155" s="4"/>
      <c r="U155" s="4"/>
    </row>
    <row r="156" customHeight="1" spans="12:21">
      <c r="L156" s="4"/>
      <c r="M156" s="4"/>
      <c r="U156" s="4"/>
    </row>
    <row r="157" customHeight="1" spans="12:21">
      <c r="L157" s="4"/>
      <c r="M157" s="4"/>
      <c r="U157" s="4"/>
    </row>
    <row r="158" customHeight="1" spans="12:21">
      <c r="L158" s="4"/>
      <c r="M158" s="4"/>
      <c r="U158" s="4"/>
    </row>
    <row r="159" customHeight="1" spans="12:21">
      <c r="L159" s="4"/>
      <c r="M159" s="4"/>
      <c r="U159" s="4"/>
    </row>
    <row r="160" customHeight="1" spans="12:21">
      <c r="L160" s="4"/>
      <c r="M160" s="4"/>
      <c r="U160" s="4"/>
    </row>
    <row r="161" customHeight="1" spans="12:21">
      <c r="L161" s="4"/>
      <c r="M161" s="4"/>
      <c r="U161" s="4"/>
    </row>
    <row r="162" customHeight="1" spans="12:21">
      <c r="L162" s="4"/>
      <c r="M162" s="4"/>
      <c r="U162" s="4"/>
    </row>
    <row r="163" customHeight="1" spans="12:21">
      <c r="L163" s="4"/>
      <c r="M163" s="4"/>
      <c r="U163" s="4"/>
    </row>
    <row r="164" customHeight="1" spans="12:21">
      <c r="L164" s="4"/>
      <c r="M164" s="4"/>
      <c r="U164" s="4"/>
    </row>
    <row r="165" customHeight="1" spans="12:21">
      <c r="L165" s="4"/>
      <c r="M165" s="4"/>
      <c r="U165" s="4"/>
    </row>
    <row r="166" customHeight="1" spans="12:21">
      <c r="L166" s="4"/>
      <c r="M166" s="4"/>
      <c r="U166" s="4"/>
    </row>
    <row r="167" customHeight="1" spans="12:21">
      <c r="L167" s="4"/>
      <c r="M167" s="4"/>
      <c r="U167" s="4"/>
    </row>
    <row r="168" customHeight="1" spans="12:21">
      <c r="L168" s="4"/>
      <c r="M168" s="4"/>
      <c r="U168" s="4"/>
    </row>
    <row r="169" customHeight="1" spans="12:21">
      <c r="L169" s="4"/>
      <c r="M169" s="4"/>
      <c r="U169" s="4"/>
    </row>
    <row r="170" customHeight="1" spans="12:21">
      <c r="L170" s="4"/>
      <c r="M170" s="4"/>
      <c r="U170" s="4"/>
    </row>
    <row r="171" customHeight="1" spans="12:21">
      <c r="L171" s="4"/>
      <c r="M171" s="4"/>
      <c r="U171" s="4"/>
    </row>
    <row r="172" customHeight="1" spans="12:21">
      <c r="L172" s="4"/>
      <c r="M172" s="4"/>
      <c r="U172" s="4"/>
    </row>
    <row r="173" customHeight="1" spans="12:21">
      <c r="L173" s="4"/>
      <c r="M173" s="4"/>
      <c r="U173" s="4"/>
    </row>
    <row r="174" customHeight="1" spans="12:21">
      <c r="L174" s="4"/>
      <c r="M174" s="4"/>
      <c r="U174" s="4"/>
    </row>
    <row r="175" customHeight="1" spans="12:21">
      <c r="L175" s="4"/>
      <c r="M175" s="4"/>
      <c r="U175" s="4"/>
    </row>
    <row r="176" customHeight="1" spans="12:21">
      <c r="L176" s="4"/>
      <c r="M176" s="4"/>
      <c r="U176" s="4"/>
    </row>
    <row r="177" customHeight="1" spans="12:21">
      <c r="L177" s="4"/>
      <c r="M177" s="4"/>
      <c r="U177" s="4"/>
    </row>
    <row r="178" customHeight="1" spans="12:21">
      <c r="L178" s="4"/>
      <c r="M178" s="4"/>
      <c r="U178" s="4"/>
    </row>
    <row r="179" customHeight="1" spans="12:21">
      <c r="L179" s="4"/>
      <c r="M179" s="4"/>
      <c r="U179" s="4"/>
    </row>
    <row r="180" customHeight="1" spans="12:21">
      <c r="L180" s="4"/>
      <c r="M180" s="4"/>
      <c r="U180" s="4"/>
    </row>
    <row r="181" customHeight="1" spans="12:21">
      <c r="L181" s="4"/>
      <c r="M181" s="4"/>
      <c r="U181" s="4"/>
    </row>
    <row r="182" customHeight="1" spans="12:21">
      <c r="L182" s="4"/>
      <c r="M182" s="4"/>
      <c r="U182" s="4"/>
    </row>
    <row r="183" customHeight="1" spans="12:21">
      <c r="L183" s="4"/>
      <c r="M183" s="4"/>
      <c r="U183" s="4"/>
    </row>
    <row r="184" customHeight="1" spans="12:21">
      <c r="L184" s="4"/>
      <c r="M184" s="4"/>
      <c r="U184" s="4"/>
    </row>
    <row r="185" customHeight="1" spans="12:21">
      <c r="L185" s="4"/>
      <c r="M185" s="4"/>
      <c r="U185" s="4"/>
    </row>
    <row r="186" customHeight="1" spans="12:21">
      <c r="L186" s="4"/>
      <c r="M186" s="4"/>
      <c r="U186" s="4"/>
    </row>
    <row r="187" customHeight="1" spans="12:21">
      <c r="L187" s="4"/>
      <c r="M187" s="4"/>
      <c r="U187" s="4"/>
    </row>
    <row r="188" customHeight="1" spans="12:21">
      <c r="L188" s="4"/>
      <c r="M188" s="4"/>
      <c r="U188" s="4"/>
    </row>
    <row r="189" customHeight="1" spans="12:21">
      <c r="L189" s="4"/>
      <c r="M189" s="4"/>
      <c r="U189" s="4"/>
    </row>
    <row r="190" customHeight="1" spans="12:21">
      <c r="L190" s="4"/>
      <c r="M190" s="4"/>
      <c r="U190" s="4"/>
    </row>
    <row r="191" customHeight="1" spans="12:21">
      <c r="L191" s="4"/>
      <c r="M191" s="4"/>
      <c r="U191" s="4"/>
    </row>
    <row r="192" customHeight="1" spans="12:21">
      <c r="L192" s="4"/>
      <c r="M192" s="4"/>
      <c r="U192" s="4"/>
    </row>
    <row r="193" customHeight="1" spans="12:21">
      <c r="L193" s="4"/>
      <c r="M193" s="4"/>
      <c r="U193" s="4"/>
    </row>
    <row r="194" customHeight="1" spans="12:21">
      <c r="L194" s="4"/>
      <c r="M194" s="4"/>
      <c r="U194" s="4"/>
    </row>
    <row r="195" customHeight="1" spans="12:21">
      <c r="L195" s="4"/>
      <c r="M195" s="4"/>
      <c r="U195" s="4"/>
    </row>
    <row r="196" customHeight="1" spans="12:21">
      <c r="L196" s="4"/>
      <c r="M196" s="4"/>
      <c r="U196" s="4"/>
    </row>
    <row r="197" customHeight="1" spans="12:21">
      <c r="L197" s="4"/>
      <c r="M197" s="4"/>
      <c r="U197" s="4"/>
    </row>
    <row r="198" customHeight="1" spans="12:21">
      <c r="L198" s="4"/>
      <c r="M198" s="4"/>
      <c r="U198" s="4"/>
    </row>
    <row r="199" customHeight="1" spans="12:21">
      <c r="L199" s="4"/>
      <c r="M199" s="4"/>
      <c r="U199" s="4"/>
    </row>
    <row r="200" customHeight="1" spans="12:21">
      <c r="L200" s="4"/>
      <c r="M200" s="4"/>
      <c r="U200" s="4"/>
    </row>
    <row r="201" customHeight="1" spans="12:21">
      <c r="L201" s="4"/>
      <c r="M201" s="4"/>
      <c r="U201" s="4"/>
    </row>
    <row r="202" customHeight="1" spans="12:21">
      <c r="L202" s="4"/>
      <c r="M202" s="4"/>
      <c r="U202" s="4"/>
    </row>
    <row r="203" customHeight="1" spans="12:21">
      <c r="L203" s="4"/>
      <c r="M203" s="4"/>
      <c r="U203" s="4"/>
    </row>
    <row r="204" customHeight="1" spans="12:21">
      <c r="L204" s="4"/>
      <c r="M204" s="4"/>
      <c r="U204" s="4"/>
    </row>
    <row r="205" customHeight="1" spans="12:21">
      <c r="L205" s="4"/>
      <c r="M205" s="4"/>
      <c r="U205" s="4"/>
    </row>
    <row r="206" customHeight="1" spans="12:21">
      <c r="L206" s="4"/>
      <c r="M206" s="4"/>
      <c r="U206" s="4"/>
    </row>
    <row r="207" customHeight="1" spans="12:21">
      <c r="L207" s="4"/>
      <c r="M207" s="4"/>
      <c r="U207" s="4"/>
    </row>
    <row r="208" customHeight="1" spans="12:21">
      <c r="L208" s="4"/>
      <c r="M208" s="4"/>
      <c r="U208" s="4"/>
    </row>
    <row r="209" customHeight="1" spans="12:21">
      <c r="L209" s="4"/>
      <c r="M209" s="4"/>
      <c r="U209" s="4"/>
    </row>
    <row r="210" customHeight="1" spans="12:21">
      <c r="L210" s="4"/>
      <c r="M210" s="4"/>
      <c r="U210" s="4"/>
    </row>
    <row r="211" customHeight="1" spans="12:21">
      <c r="L211" s="4"/>
      <c r="M211" s="4"/>
      <c r="U211" s="4"/>
    </row>
    <row r="212" customHeight="1" spans="12:21">
      <c r="L212" s="4"/>
      <c r="M212" s="4"/>
      <c r="U212" s="4"/>
    </row>
    <row r="213" customHeight="1" spans="12:21">
      <c r="L213" s="4"/>
      <c r="M213" s="4"/>
      <c r="U213" s="4"/>
    </row>
    <row r="214" customHeight="1" spans="12:21">
      <c r="L214" s="4"/>
      <c r="M214" s="4"/>
      <c r="U214" s="4"/>
    </row>
    <row r="215" customHeight="1" spans="12:21">
      <c r="L215" s="4"/>
      <c r="M215" s="4"/>
      <c r="U215" s="4"/>
    </row>
    <row r="216" customHeight="1" spans="12:21">
      <c r="L216" s="4"/>
      <c r="M216" s="4"/>
      <c r="U216" s="4"/>
    </row>
    <row r="217" customHeight="1" spans="12:21">
      <c r="L217" s="4"/>
      <c r="M217" s="4"/>
      <c r="U217" s="4"/>
    </row>
    <row r="218" customHeight="1" spans="12:21">
      <c r="L218" s="4"/>
      <c r="M218" s="4"/>
      <c r="U218" s="4"/>
    </row>
    <row r="219" customHeight="1" spans="12:21">
      <c r="L219" s="4"/>
      <c r="M219" s="4"/>
      <c r="U219" s="4"/>
    </row>
    <row r="220" customHeight="1" spans="12:21">
      <c r="L220" s="4"/>
      <c r="M220" s="4"/>
      <c r="U220" s="4"/>
    </row>
    <row r="221" customHeight="1" spans="12:21">
      <c r="L221" s="4"/>
      <c r="M221" s="4"/>
      <c r="U221" s="4"/>
    </row>
    <row r="222" customHeight="1" spans="12:21">
      <c r="L222" s="4"/>
      <c r="M222" s="4"/>
      <c r="U222" s="4"/>
    </row>
    <row r="223" customHeight="1" spans="12:21">
      <c r="L223" s="4"/>
      <c r="M223" s="4"/>
      <c r="U223" s="4"/>
    </row>
    <row r="224" customHeight="1" spans="12:21">
      <c r="L224" s="4"/>
      <c r="M224" s="4"/>
      <c r="U224" s="4"/>
    </row>
    <row r="225" customHeight="1" spans="12:21">
      <c r="L225" s="4"/>
      <c r="M225" s="4"/>
      <c r="U225" s="4"/>
    </row>
    <row r="226" customHeight="1" spans="12:21">
      <c r="L226" s="4"/>
      <c r="M226" s="4"/>
      <c r="U226" s="4"/>
    </row>
    <row r="227" customHeight="1" spans="12:21">
      <c r="L227" s="4"/>
      <c r="M227" s="4"/>
      <c r="U227" s="4"/>
    </row>
    <row r="228" customHeight="1" spans="12:21">
      <c r="L228" s="4"/>
      <c r="M228" s="4"/>
      <c r="U228" s="4"/>
    </row>
    <row r="229" customHeight="1" spans="12:21">
      <c r="L229" s="4"/>
      <c r="M229" s="4"/>
      <c r="U229" s="4"/>
    </row>
    <row r="230" customHeight="1" spans="12:21">
      <c r="L230" s="4"/>
      <c r="M230" s="4"/>
      <c r="U230" s="4"/>
    </row>
    <row r="231" customHeight="1" spans="12:21">
      <c r="L231" s="4"/>
      <c r="M231" s="4"/>
      <c r="U231" s="4"/>
    </row>
    <row r="232" customHeight="1" spans="12:21">
      <c r="L232" s="4"/>
      <c r="M232" s="4"/>
      <c r="U232" s="4"/>
    </row>
    <row r="233" customHeight="1" spans="12:21">
      <c r="L233" s="4"/>
      <c r="M233" s="4"/>
      <c r="U233" s="4"/>
    </row>
    <row r="234" customHeight="1" spans="12:21">
      <c r="L234" s="4"/>
      <c r="M234" s="4"/>
      <c r="U234" s="4"/>
    </row>
    <row r="235" customHeight="1" spans="12:21">
      <c r="L235" s="4"/>
      <c r="M235" s="4"/>
      <c r="U235" s="4"/>
    </row>
    <row r="236" customHeight="1" spans="12:21">
      <c r="L236" s="4"/>
      <c r="M236" s="4"/>
      <c r="U236" s="4"/>
    </row>
    <row r="237" customHeight="1" spans="12:21">
      <c r="L237" s="4"/>
      <c r="M237" s="4"/>
      <c r="U237" s="4"/>
    </row>
    <row r="238" customHeight="1" spans="12:21">
      <c r="L238" s="4"/>
      <c r="M238" s="4"/>
      <c r="U238" s="4"/>
    </row>
    <row r="239" customHeight="1" spans="12:21">
      <c r="L239" s="4"/>
      <c r="M239" s="4"/>
      <c r="U239" s="4"/>
    </row>
    <row r="240" customHeight="1" spans="12:21">
      <c r="L240" s="4"/>
      <c r="M240" s="4"/>
      <c r="U240" s="4"/>
    </row>
    <row r="241" customHeight="1" spans="12:21">
      <c r="L241" s="4"/>
      <c r="M241" s="4"/>
      <c r="U241" s="4"/>
    </row>
    <row r="242" customHeight="1" spans="12:21">
      <c r="L242" s="4"/>
      <c r="M242" s="4"/>
      <c r="U242" s="4"/>
    </row>
    <row r="243" customHeight="1" spans="12:21">
      <c r="L243" s="4"/>
      <c r="M243" s="4"/>
      <c r="U243" s="4"/>
    </row>
    <row r="244" customHeight="1" spans="12:21">
      <c r="L244" s="4"/>
      <c r="M244" s="4"/>
      <c r="U244" s="4"/>
    </row>
    <row r="245" customHeight="1" spans="12:21">
      <c r="L245" s="4"/>
      <c r="M245" s="4"/>
      <c r="U245" s="4"/>
    </row>
    <row r="246" customHeight="1" spans="12:21">
      <c r="L246" s="4"/>
      <c r="M246" s="4"/>
      <c r="U246" s="4"/>
    </row>
    <row r="247" customHeight="1" spans="12:21">
      <c r="L247" s="4"/>
      <c r="M247" s="4"/>
      <c r="U247" s="4"/>
    </row>
    <row r="248" customHeight="1" spans="12:21">
      <c r="L248" s="4"/>
      <c r="M248" s="4"/>
      <c r="U248" s="4"/>
    </row>
    <row r="249" customHeight="1" spans="12:21">
      <c r="L249" s="4"/>
      <c r="M249" s="4"/>
      <c r="U249" s="4"/>
    </row>
    <row r="250" customHeight="1" spans="12:21">
      <c r="L250" s="4"/>
      <c r="M250" s="4"/>
      <c r="U250" s="4"/>
    </row>
    <row r="251" customHeight="1" spans="12:21">
      <c r="L251" s="4"/>
      <c r="M251" s="4"/>
      <c r="U251" s="4"/>
    </row>
    <row r="252" customHeight="1" spans="12:21">
      <c r="L252" s="4"/>
      <c r="M252" s="4"/>
      <c r="U252" s="4"/>
    </row>
    <row r="253" customHeight="1" spans="12:21">
      <c r="L253" s="4"/>
      <c r="M253" s="4"/>
      <c r="U253" s="4"/>
    </row>
    <row r="254" customHeight="1" spans="12:21">
      <c r="L254" s="4"/>
      <c r="M254" s="4"/>
      <c r="U254" s="4"/>
    </row>
    <row r="255" customHeight="1" spans="12:21">
      <c r="L255" s="4"/>
      <c r="M255" s="4"/>
      <c r="U255" s="4"/>
    </row>
    <row r="256" customHeight="1" spans="12:21">
      <c r="L256" s="4"/>
      <c r="M256" s="4"/>
      <c r="U256" s="4"/>
    </row>
    <row r="257" customHeight="1" spans="12:21">
      <c r="L257" s="4"/>
      <c r="M257" s="4"/>
      <c r="U257" s="4"/>
    </row>
    <row r="258" customHeight="1" spans="12:21">
      <c r="L258" s="4"/>
      <c r="M258" s="4"/>
      <c r="U258" s="4"/>
    </row>
    <row r="259" customHeight="1" spans="12:21">
      <c r="L259" s="4"/>
      <c r="M259" s="4"/>
      <c r="U259" s="4"/>
    </row>
    <row r="260" customHeight="1" spans="12:21">
      <c r="L260" s="4"/>
      <c r="M260" s="4"/>
      <c r="U260" s="4"/>
    </row>
    <row r="261" customHeight="1" spans="12:21">
      <c r="L261" s="4"/>
      <c r="M261" s="4"/>
      <c r="U261" s="4"/>
    </row>
    <row r="262" customHeight="1" spans="12:21">
      <c r="L262" s="4"/>
      <c r="M262" s="4"/>
      <c r="U262" s="4"/>
    </row>
    <row r="263" customHeight="1" spans="12:21">
      <c r="L263" s="4"/>
      <c r="M263" s="4"/>
      <c r="U263" s="4"/>
    </row>
    <row r="264" customHeight="1" spans="12:21">
      <c r="L264" s="4"/>
      <c r="M264" s="4"/>
      <c r="U264" s="4"/>
    </row>
    <row r="265" customHeight="1" spans="12:21">
      <c r="L265" s="4"/>
      <c r="M265" s="4"/>
      <c r="U265" s="4"/>
    </row>
    <row r="266" customHeight="1" spans="12:21">
      <c r="L266" s="4"/>
      <c r="M266" s="4"/>
      <c r="U266" s="4"/>
    </row>
    <row r="267" customHeight="1" spans="12:21">
      <c r="L267" s="4"/>
      <c r="M267" s="4"/>
      <c r="U267" s="4"/>
    </row>
    <row r="268" customHeight="1" spans="12:21">
      <c r="L268" s="4"/>
      <c r="M268" s="4"/>
      <c r="U268" s="4"/>
    </row>
    <row r="269" customHeight="1" spans="12:21">
      <c r="L269" s="4"/>
      <c r="M269" s="4"/>
      <c r="U269" s="4"/>
    </row>
    <row r="270" customHeight="1" spans="12:21">
      <c r="L270" s="4"/>
      <c r="M270" s="4"/>
      <c r="U270" s="4"/>
    </row>
    <row r="271" customHeight="1" spans="12:21">
      <c r="L271" s="4"/>
      <c r="M271" s="4"/>
      <c r="U271" s="4"/>
    </row>
    <row r="272" customHeight="1" spans="12:21">
      <c r="L272" s="4"/>
      <c r="M272" s="4"/>
      <c r="U272" s="4"/>
    </row>
    <row r="273" customHeight="1" spans="12:21">
      <c r="L273" s="4"/>
      <c r="M273" s="4"/>
      <c r="U273" s="4"/>
    </row>
    <row r="274" customHeight="1" spans="12:21">
      <c r="L274" s="4"/>
      <c r="M274" s="4"/>
      <c r="U274" s="4"/>
    </row>
    <row r="275" customHeight="1" spans="12:21">
      <c r="L275" s="4"/>
      <c r="M275" s="4"/>
      <c r="U275" s="4"/>
    </row>
    <row r="276" customHeight="1" spans="12:21">
      <c r="L276" s="4"/>
      <c r="M276" s="4"/>
      <c r="U276" s="4"/>
    </row>
    <row r="277" customHeight="1" spans="12:21">
      <c r="L277" s="4"/>
      <c r="M277" s="4"/>
      <c r="U277" s="4"/>
    </row>
    <row r="278" customHeight="1" spans="12:21">
      <c r="L278" s="4"/>
      <c r="M278" s="4"/>
      <c r="U278" s="4"/>
    </row>
    <row r="279" customHeight="1" spans="12:21">
      <c r="L279" s="4"/>
      <c r="M279" s="4"/>
      <c r="U279" s="4"/>
    </row>
    <row r="280" customHeight="1" spans="12:21">
      <c r="L280" s="4"/>
      <c r="M280" s="4"/>
      <c r="U280" s="4"/>
    </row>
    <row r="281" customHeight="1" spans="12:21">
      <c r="L281" s="4"/>
      <c r="M281" s="4"/>
      <c r="U281" s="4"/>
    </row>
    <row r="282" customHeight="1" spans="12:21">
      <c r="L282" s="4"/>
      <c r="M282" s="4"/>
      <c r="U282" s="4"/>
    </row>
    <row r="283" customHeight="1" spans="12:21">
      <c r="L283" s="4"/>
      <c r="M283" s="4"/>
      <c r="U283" s="4"/>
    </row>
    <row r="284" customHeight="1" spans="12:21">
      <c r="L284" s="4"/>
      <c r="M284" s="4"/>
      <c r="U284" s="4"/>
    </row>
    <row r="285" customHeight="1" spans="12:21">
      <c r="L285" s="4"/>
      <c r="M285" s="4"/>
      <c r="U285" s="4"/>
    </row>
    <row r="286" customHeight="1" spans="12:21">
      <c r="L286" s="4"/>
      <c r="M286" s="4"/>
      <c r="U286" s="4"/>
    </row>
    <row r="287" customHeight="1" spans="12:21">
      <c r="L287" s="4"/>
      <c r="M287" s="4"/>
      <c r="U287" s="4"/>
    </row>
    <row r="288" customHeight="1" spans="12:21">
      <c r="L288" s="4"/>
      <c r="M288" s="4"/>
      <c r="U288" s="4"/>
    </row>
    <row r="289" customHeight="1" spans="12:21">
      <c r="L289" s="4"/>
      <c r="M289" s="4"/>
      <c r="U289" s="4"/>
    </row>
    <row r="290" customHeight="1" spans="12:21">
      <c r="L290" s="4"/>
      <c r="M290" s="4"/>
      <c r="U290" s="4"/>
    </row>
    <row r="291" customHeight="1" spans="12:21">
      <c r="L291" s="4"/>
      <c r="M291" s="4"/>
      <c r="U291" s="4"/>
    </row>
    <row r="292" customHeight="1" spans="12:21">
      <c r="L292" s="4"/>
      <c r="M292" s="4"/>
      <c r="U292" s="4"/>
    </row>
    <row r="293" customHeight="1" spans="12:21">
      <c r="L293" s="4"/>
      <c r="M293" s="4"/>
      <c r="U293" s="4"/>
    </row>
    <row r="294" customHeight="1" spans="12:21">
      <c r="L294" s="4"/>
      <c r="M294" s="4"/>
      <c r="U294" s="4"/>
    </row>
    <row r="295" customHeight="1" spans="12:21">
      <c r="L295" s="4"/>
      <c r="M295" s="4"/>
      <c r="U295" s="4"/>
    </row>
    <row r="296" customHeight="1" spans="12:21">
      <c r="L296" s="4"/>
      <c r="M296" s="4"/>
      <c r="U296" s="4"/>
    </row>
    <row r="297" customHeight="1" spans="12:21">
      <c r="L297" s="4"/>
      <c r="M297" s="4"/>
      <c r="U297" s="4"/>
    </row>
    <row r="298" customHeight="1" spans="12:21">
      <c r="L298" s="4"/>
      <c r="M298" s="4"/>
      <c r="U298" s="4"/>
    </row>
    <row r="299" customHeight="1" spans="12:21">
      <c r="L299" s="4"/>
      <c r="M299" s="4"/>
      <c r="U299" s="4"/>
    </row>
    <row r="300" customHeight="1" spans="12:21">
      <c r="L300" s="4"/>
      <c r="M300" s="4"/>
      <c r="U300" s="4"/>
    </row>
    <row r="301" customHeight="1" spans="12:21">
      <c r="L301" s="4"/>
      <c r="M301" s="4"/>
      <c r="U301" s="4"/>
    </row>
    <row r="302" customHeight="1" spans="12:21">
      <c r="L302" s="4"/>
      <c r="M302" s="4"/>
      <c r="U302" s="4"/>
    </row>
    <row r="303" customHeight="1" spans="12:21">
      <c r="L303" s="4"/>
      <c r="M303" s="4"/>
      <c r="U303" s="4"/>
    </row>
    <row r="304" customHeight="1" spans="12:21">
      <c r="L304" s="4"/>
      <c r="M304" s="4"/>
      <c r="U304" s="4"/>
    </row>
    <row r="305" customHeight="1" spans="12:21">
      <c r="L305" s="4"/>
      <c r="M305" s="4"/>
      <c r="U305" s="4"/>
    </row>
    <row r="306" customHeight="1" spans="12:21">
      <c r="L306" s="4"/>
      <c r="M306" s="4"/>
      <c r="U306" s="4"/>
    </row>
    <row r="307" customHeight="1" spans="12:21">
      <c r="L307" s="4"/>
      <c r="M307" s="4"/>
      <c r="U307" s="4"/>
    </row>
    <row r="308" customHeight="1" spans="12:21">
      <c r="L308" s="4"/>
      <c r="M308" s="4"/>
      <c r="U308" s="4"/>
    </row>
    <row r="309" customHeight="1" spans="12:21">
      <c r="L309" s="4"/>
      <c r="M309" s="4"/>
      <c r="U309" s="4"/>
    </row>
    <row r="310" customHeight="1" spans="12:21">
      <c r="L310" s="4"/>
      <c r="M310" s="4"/>
      <c r="U310" s="4"/>
    </row>
    <row r="311" customHeight="1" spans="12:21">
      <c r="L311" s="4"/>
      <c r="M311" s="4"/>
      <c r="U311" s="4"/>
    </row>
    <row r="312" customHeight="1" spans="12:21">
      <c r="L312" s="4"/>
      <c r="M312" s="4"/>
      <c r="U312" s="4"/>
    </row>
    <row r="313" customHeight="1" spans="12:21">
      <c r="L313" s="4"/>
      <c r="M313" s="4"/>
      <c r="U313" s="4"/>
    </row>
    <row r="314" customHeight="1" spans="12:21">
      <c r="L314" s="4"/>
      <c r="M314" s="4"/>
      <c r="U314" s="4"/>
    </row>
    <row r="315" customHeight="1" spans="12:21">
      <c r="L315" s="4"/>
      <c r="M315" s="4"/>
      <c r="U315" s="4"/>
    </row>
    <row r="316" customHeight="1" spans="12:21">
      <c r="L316" s="4"/>
      <c r="M316" s="4"/>
      <c r="U316" s="4"/>
    </row>
    <row r="317" customHeight="1" spans="12:21">
      <c r="L317" s="4"/>
      <c r="M317" s="4"/>
      <c r="U317" s="4"/>
    </row>
    <row r="318" customHeight="1" spans="12:21">
      <c r="L318" s="4"/>
      <c r="M318" s="4"/>
      <c r="U318" s="4"/>
    </row>
    <row r="319" customHeight="1" spans="12:21">
      <c r="L319" s="4"/>
      <c r="M319" s="4"/>
      <c r="U319" s="4"/>
    </row>
    <row r="320" customHeight="1" spans="12:21">
      <c r="L320" s="4"/>
      <c r="M320" s="4"/>
      <c r="U320" s="4"/>
    </row>
    <row r="321" customHeight="1" spans="12:21">
      <c r="L321" s="4"/>
      <c r="M321" s="4"/>
      <c r="U321" s="4"/>
    </row>
    <row r="322" customHeight="1" spans="12:21">
      <c r="L322" s="4"/>
      <c r="M322" s="4"/>
      <c r="U322" s="4"/>
    </row>
    <row r="323" customHeight="1" spans="12:21">
      <c r="L323" s="4"/>
      <c r="M323" s="4"/>
      <c r="U323" s="4"/>
    </row>
    <row r="324" customHeight="1" spans="12:21">
      <c r="L324" s="4"/>
      <c r="M324" s="4"/>
      <c r="U324" s="4"/>
    </row>
    <row r="325" customHeight="1" spans="12:21">
      <c r="L325" s="4"/>
      <c r="M325" s="4"/>
      <c r="U325" s="4"/>
    </row>
    <row r="326" customHeight="1" spans="12:21">
      <c r="L326" s="4"/>
      <c r="M326" s="4"/>
      <c r="U326" s="4"/>
    </row>
    <row r="327" customHeight="1" spans="12:21">
      <c r="L327" s="4"/>
      <c r="M327" s="4"/>
      <c r="U327" s="4"/>
    </row>
    <row r="328" customHeight="1" spans="12:21">
      <c r="L328" s="4"/>
      <c r="M328" s="4"/>
      <c r="U328" s="4"/>
    </row>
    <row r="329" customHeight="1" spans="12:21">
      <c r="L329" s="4"/>
      <c r="M329" s="4"/>
      <c r="U329" s="4"/>
    </row>
    <row r="330" customHeight="1" spans="12:21">
      <c r="L330" s="4"/>
      <c r="M330" s="4"/>
      <c r="U330" s="4"/>
    </row>
    <row r="331" customHeight="1" spans="12:21">
      <c r="L331" s="4"/>
      <c r="M331" s="4"/>
      <c r="U331" s="4"/>
    </row>
    <row r="332" customHeight="1" spans="12:21">
      <c r="L332" s="4"/>
      <c r="M332" s="4"/>
      <c r="U332" s="4"/>
    </row>
    <row r="333" customHeight="1" spans="12:21">
      <c r="L333" s="4"/>
      <c r="M333" s="4"/>
      <c r="U333" s="4"/>
    </row>
    <row r="334" customHeight="1" spans="12:21">
      <c r="L334" s="4"/>
      <c r="M334" s="4"/>
      <c r="U334" s="4"/>
    </row>
    <row r="335" customHeight="1" spans="12:21">
      <c r="L335" s="4"/>
      <c r="M335" s="4"/>
      <c r="U335" s="4"/>
    </row>
    <row r="336" customHeight="1" spans="12:21">
      <c r="L336" s="4"/>
      <c r="M336" s="4"/>
      <c r="U336" s="4"/>
    </row>
    <row r="337" customHeight="1" spans="12:21">
      <c r="L337" s="4"/>
      <c r="M337" s="4"/>
      <c r="U337" s="4"/>
    </row>
    <row r="338" customHeight="1" spans="12:21">
      <c r="L338" s="4"/>
      <c r="M338" s="4"/>
      <c r="U338" s="4"/>
    </row>
    <row r="339" customHeight="1" spans="12:21">
      <c r="L339" s="4"/>
      <c r="M339" s="4"/>
      <c r="U339" s="4"/>
    </row>
    <row r="340" customHeight="1" spans="12:21">
      <c r="L340" s="4"/>
      <c r="M340" s="4"/>
      <c r="U340" s="4"/>
    </row>
    <row r="341" customHeight="1" spans="12:21">
      <c r="L341" s="4"/>
      <c r="M341" s="4"/>
      <c r="U341" s="4"/>
    </row>
    <row r="342" customHeight="1" spans="12:21">
      <c r="L342" s="4"/>
      <c r="M342" s="4"/>
      <c r="U342" s="4"/>
    </row>
    <row r="343" customHeight="1" spans="12:21">
      <c r="L343" s="4"/>
      <c r="M343" s="4"/>
      <c r="U343" s="4"/>
    </row>
    <row r="344" customHeight="1" spans="12:21">
      <c r="L344" s="4"/>
      <c r="M344" s="4"/>
      <c r="U344" s="4"/>
    </row>
    <row r="345" customHeight="1" spans="12:21">
      <c r="L345" s="4"/>
      <c r="M345" s="4"/>
      <c r="U345" s="4"/>
    </row>
    <row r="346" customHeight="1" spans="12:21">
      <c r="L346" s="4"/>
      <c r="M346" s="4"/>
      <c r="U346" s="4"/>
    </row>
    <row r="347" customHeight="1" spans="12:21">
      <c r="L347" s="4"/>
      <c r="M347" s="4"/>
      <c r="U347" s="4"/>
    </row>
    <row r="348" customHeight="1" spans="12:21">
      <c r="L348" s="4"/>
      <c r="M348" s="4"/>
      <c r="U348" s="4"/>
    </row>
    <row r="349" customHeight="1" spans="12:21">
      <c r="L349" s="4"/>
      <c r="M349" s="4"/>
      <c r="U349" s="4"/>
    </row>
    <row r="350" customHeight="1" spans="12:21">
      <c r="L350" s="4"/>
      <c r="M350" s="4"/>
      <c r="U350" s="4"/>
    </row>
    <row r="351" customHeight="1" spans="12:21">
      <c r="L351" s="4"/>
      <c r="M351" s="4"/>
      <c r="U351" s="4"/>
    </row>
    <row r="352" customHeight="1" spans="12:21">
      <c r="L352" s="4"/>
      <c r="M352" s="4"/>
      <c r="U352" s="4"/>
    </row>
    <row r="353" customHeight="1" spans="12:21">
      <c r="L353" s="4"/>
      <c r="M353" s="4"/>
      <c r="U353" s="4"/>
    </row>
    <row r="354" customHeight="1" spans="12:21">
      <c r="L354" s="4"/>
      <c r="M354" s="4"/>
      <c r="U354" s="4"/>
    </row>
    <row r="355" customHeight="1" spans="12:21">
      <c r="L355" s="4"/>
      <c r="M355" s="4"/>
      <c r="U355" s="4"/>
    </row>
    <row r="356" customHeight="1" spans="12:21">
      <c r="L356" s="4"/>
      <c r="M356" s="4"/>
      <c r="U356" s="4"/>
    </row>
    <row r="357" customHeight="1" spans="12:21">
      <c r="L357" s="4"/>
      <c r="M357" s="4"/>
      <c r="U357" s="4"/>
    </row>
    <row r="358" customHeight="1" spans="12:21">
      <c r="L358" s="4"/>
      <c r="M358" s="4"/>
      <c r="U358" s="4"/>
    </row>
    <row r="359" customHeight="1" spans="12:21">
      <c r="L359" s="4"/>
      <c r="M359" s="4"/>
      <c r="U359" s="4"/>
    </row>
    <row r="360" customHeight="1" spans="12:21">
      <c r="L360" s="4"/>
      <c r="M360" s="4"/>
      <c r="U360" s="4"/>
    </row>
    <row r="361" customHeight="1" spans="12:21">
      <c r="L361" s="4"/>
      <c r="M361" s="4"/>
      <c r="U361" s="4"/>
    </row>
    <row r="362" customHeight="1" spans="12:21">
      <c r="L362" s="4"/>
      <c r="M362" s="4"/>
      <c r="U362" s="4"/>
    </row>
    <row r="363" customHeight="1" spans="12:21">
      <c r="L363" s="4"/>
      <c r="M363" s="4"/>
      <c r="U363" s="4"/>
    </row>
    <row r="364" customHeight="1" spans="12:21">
      <c r="L364" s="4"/>
      <c r="M364" s="4"/>
      <c r="U364" s="4"/>
    </row>
    <row r="365" customHeight="1" spans="12:21">
      <c r="L365" s="4"/>
      <c r="M365" s="4"/>
      <c r="U365" s="4"/>
    </row>
    <row r="366" customHeight="1" spans="12:21">
      <c r="L366" s="4"/>
      <c r="M366" s="4"/>
      <c r="U366" s="4"/>
    </row>
    <row r="367" customHeight="1" spans="12:21">
      <c r="L367" s="4"/>
      <c r="M367" s="4"/>
      <c r="U367" s="4"/>
    </row>
    <row r="368" customHeight="1" spans="12:21">
      <c r="L368" s="4"/>
      <c r="M368" s="4"/>
      <c r="U368" s="4"/>
    </row>
    <row r="369" customHeight="1" spans="12:21">
      <c r="L369" s="4"/>
      <c r="M369" s="4"/>
      <c r="U369" s="4"/>
    </row>
    <row r="370" customHeight="1" spans="12:21">
      <c r="L370" s="4"/>
      <c r="M370" s="4"/>
      <c r="U370" s="4"/>
    </row>
    <row r="371" customHeight="1" spans="12:21">
      <c r="L371" s="4"/>
      <c r="M371" s="4"/>
      <c r="U371" s="4"/>
    </row>
    <row r="372" customHeight="1" spans="12:21">
      <c r="L372" s="4"/>
      <c r="M372" s="4"/>
      <c r="U372" s="4"/>
    </row>
    <row r="373" customHeight="1" spans="12:21">
      <c r="L373" s="4"/>
      <c r="M373" s="4"/>
      <c r="U373" s="4"/>
    </row>
    <row r="374" customHeight="1" spans="12:21">
      <c r="L374" s="4"/>
      <c r="M374" s="4"/>
      <c r="U374" s="4"/>
    </row>
    <row r="375" customHeight="1" spans="12:21">
      <c r="L375" s="4"/>
      <c r="M375" s="4"/>
      <c r="U375" s="4"/>
    </row>
    <row r="376" customHeight="1" spans="12:21">
      <c r="L376" s="4"/>
      <c r="M376" s="4"/>
      <c r="U376" s="4"/>
    </row>
    <row r="377" customHeight="1" spans="12:21">
      <c r="L377" s="4"/>
      <c r="M377" s="4"/>
      <c r="U377" s="4"/>
    </row>
    <row r="378" customHeight="1" spans="12:21">
      <c r="L378" s="4"/>
      <c r="M378" s="4"/>
      <c r="U378" s="4"/>
    </row>
    <row r="379" customHeight="1" spans="12:21">
      <c r="L379" s="4"/>
      <c r="M379" s="4"/>
      <c r="U379" s="4"/>
    </row>
    <row r="380" customHeight="1" spans="12:21">
      <c r="L380" s="4"/>
      <c r="M380" s="4"/>
      <c r="U380" s="4"/>
    </row>
    <row r="381" customHeight="1" spans="12:21">
      <c r="L381" s="4"/>
      <c r="M381" s="4"/>
      <c r="U381" s="4"/>
    </row>
    <row r="382" customHeight="1" spans="12:21">
      <c r="L382" s="4"/>
      <c r="M382" s="4"/>
      <c r="U382" s="4"/>
    </row>
    <row r="383" customHeight="1" spans="12:21">
      <c r="L383" s="4"/>
      <c r="M383" s="4"/>
      <c r="U383" s="4"/>
    </row>
    <row r="384" customHeight="1" spans="12:21">
      <c r="L384" s="4"/>
      <c r="M384" s="4"/>
      <c r="U384" s="4"/>
    </row>
    <row r="385" customHeight="1" spans="12:21">
      <c r="L385" s="4"/>
      <c r="M385" s="4"/>
      <c r="U385" s="4"/>
    </row>
    <row r="386" customHeight="1" spans="12:21">
      <c r="L386" s="4"/>
      <c r="M386" s="4"/>
      <c r="U386" s="4"/>
    </row>
    <row r="387" customHeight="1" spans="12:21">
      <c r="L387" s="4"/>
      <c r="M387" s="4"/>
      <c r="U387" s="4"/>
    </row>
    <row r="388" customHeight="1" spans="12:21">
      <c r="L388" s="4"/>
      <c r="M388" s="4"/>
      <c r="U388" s="4"/>
    </row>
    <row r="389" customHeight="1" spans="12:21">
      <c r="L389" s="4"/>
      <c r="M389" s="4"/>
      <c r="U389" s="4"/>
    </row>
    <row r="390" customHeight="1" spans="12:21">
      <c r="L390" s="4"/>
      <c r="M390" s="4"/>
      <c r="U390" s="4"/>
    </row>
    <row r="391" customHeight="1" spans="12:21">
      <c r="L391" s="4"/>
      <c r="M391" s="4"/>
      <c r="U391" s="4"/>
    </row>
    <row r="392" customHeight="1" spans="12:21">
      <c r="L392" s="4"/>
      <c r="M392" s="4"/>
      <c r="U392" s="4"/>
    </row>
    <row r="393" customHeight="1" spans="12:21">
      <c r="L393" s="4"/>
      <c r="M393" s="4"/>
      <c r="U393" s="4"/>
    </row>
    <row r="394" customHeight="1" spans="12:21">
      <c r="L394" s="4"/>
      <c r="M394" s="4"/>
      <c r="U394" s="4"/>
    </row>
    <row r="395" customHeight="1" spans="12:21">
      <c r="L395" s="4"/>
      <c r="M395" s="4"/>
      <c r="U395" s="4"/>
    </row>
    <row r="396" customHeight="1" spans="12:21">
      <c r="L396" s="4"/>
      <c r="M396" s="4"/>
      <c r="U396" s="4"/>
    </row>
    <row r="397" customHeight="1" spans="12:21">
      <c r="L397" s="4"/>
      <c r="M397" s="4"/>
      <c r="U397" s="4"/>
    </row>
    <row r="398" customHeight="1" spans="12:21">
      <c r="L398" s="4"/>
      <c r="M398" s="4"/>
      <c r="U398" s="4"/>
    </row>
    <row r="399" customHeight="1" spans="12:21">
      <c r="L399" s="4"/>
      <c r="M399" s="4"/>
      <c r="U399" s="4"/>
    </row>
    <row r="400" customHeight="1" spans="12:21">
      <c r="L400" s="4"/>
      <c r="M400" s="4"/>
      <c r="U400" s="4"/>
    </row>
    <row r="401" customHeight="1" spans="12:21">
      <c r="L401" s="4"/>
      <c r="M401" s="4"/>
      <c r="U401" s="4"/>
    </row>
    <row r="402" customHeight="1" spans="12:21">
      <c r="L402" s="4"/>
      <c r="M402" s="4"/>
      <c r="U402" s="4"/>
    </row>
    <row r="403" customHeight="1" spans="12:21">
      <c r="L403" s="4"/>
      <c r="M403" s="4"/>
      <c r="U403" s="4"/>
    </row>
    <row r="404" customHeight="1" spans="12:21">
      <c r="L404" s="4"/>
      <c r="M404" s="4"/>
      <c r="U404" s="4"/>
    </row>
    <row r="405" customHeight="1" spans="12:21">
      <c r="L405" s="4"/>
      <c r="M405" s="4"/>
      <c r="U405" s="4"/>
    </row>
    <row r="406" customHeight="1" spans="12:21">
      <c r="L406" s="4"/>
      <c r="M406" s="4"/>
      <c r="U406" s="4"/>
    </row>
    <row r="407" customHeight="1" spans="12:21">
      <c r="L407" s="4"/>
      <c r="M407" s="4"/>
      <c r="U407" s="4"/>
    </row>
    <row r="408" customHeight="1" spans="12:21">
      <c r="L408" s="4"/>
      <c r="M408" s="4"/>
      <c r="U408" s="4"/>
    </row>
    <row r="409" customHeight="1" spans="12:21">
      <c r="L409" s="4"/>
      <c r="M409" s="4"/>
      <c r="U409" s="4"/>
    </row>
    <row r="410" customHeight="1" spans="12:21">
      <c r="L410" s="4"/>
      <c r="M410" s="4"/>
      <c r="U410" s="4"/>
    </row>
    <row r="411" customHeight="1" spans="12:21">
      <c r="L411" s="4"/>
      <c r="M411" s="4"/>
      <c r="U411" s="4"/>
    </row>
    <row r="412" customHeight="1" spans="12:21">
      <c r="L412" s="4"/>
      <c r="M412" s="4"/>
      <c r="U412" s="4"/>
    </row>
    <row r="413" customHeight="1" spans="12:21">
      <c r="L413" s="4"/>
      <c r="M413" s="4"/>
      <c r="U413" s="4"/>
    </row>
    <row r="414" customHeight="1" spans="12:21">
      <c r="L414" s="4"/>
      <c r="M414" s="4"/>
      <c r="U414" s="4"/>
    </row>
    <row r="415" customHeight="1" spans="12:21">
      <c r="L415" s="4"/>
      <c r="M415" s="4"/>
      <c r="U415" s="4"/>
    </row>
    <row r="416" customHeight="1" spans="12:21">
      <c r="L416" s="4"/>
      <c r="M416" s="4"/>
      <c r="U416" s="4"/>
    </row>
    <row r="417" customHeight="1" spans="12:21">
      <c r="L417" s="4"/>
      <c r="M417" s="4"/>
      <c r="U417" s="4"/>
    </row>
    <row r="418" customHeight="1" spans="12:21">
      <c r="L418" s="4"/>
      <c r="M418" s="4"/>
      <c r="U418" s="4"/>
    </row>
    <row r="419" customHeight="1" spans="12:21">
      <c r="L419" s="4"/>
      <c r="M419" s="4"/>
      <c r="U419" s="4"/>
    </row>
    <row r="420" customHeight="1" spans="12:21">
      <c r="L420" s="4"/>
      <c r="M420" s="4"/>
      <c r="U420" s="4"/>
    </row>
    <row r="421" customHeight="1" spans="12:21">
      <c r="L421" s="4"/>
      <c r="M421" s="4"/>
      <c r="U421" s="4"/>
    </row>
    <row r="422" customHeight="1" spans="12:21">
      <c r="L422" s="4"/>
      <c r="M422" s="4"/>
      <c r="U422" s="4"/>
    </row>
    <row r="423" customHeight="1" spans="12:21">
      <c r="L423" s="4"/>
      <c r="M423" s="4"/>
      <c r="U423" s="4"/>
    </row>
    <row r="424" customHeight="1" spans="12:21">
      <c r="L424" s="4"/>
      <c r="M424" s="4"/>
      <c r="U424" s="4"/>
    </row>
    <row r="425" customHeight="1" spans="12:21">
      <c r="L425" s="4"/>
      <c r="M425" s="4"/>
      <c r="U425" s="4"/>
    </row>
    <row r="426" customHeight="1" spans="12:21">
      <c r="L426" s="4"/>
      <c r="M426" s="4"/>
      <c r="U426" s="4"/>
    </row>
    <row r="427" customHeight="1" spans="12:21">
      <c r="L427" s="4"/>
      <c r="M427" s="4"/>
      <c r="U427" s="4"/>
    </row>
    <row r="428" customHeight="1" spans="12:21">
      <c r="L428" s="4"/>
      <c r="M428" s="4"/>
      <c r="U428" s="4"/>
    </row>
    <row r="429" customHeight="1" spans="12:21">
      <c r="L429" s="4"/>
      <c r="M429" s="4"/>
      <c r="U429" s="4"/>
    </row>
    <row r="430" customHeight="1" spans="12:21">
      <c r="L430" s="4"/>
      <c r="M430" s="4"/>
      <c r="U430" s="4"/>
    </row>
    <row r="431" customHeight="1" spans="12:21">
      <c r="L431" s="4"/>
      <c r="M431" s="4"/>
      <c r="U431" s="4"/>
    </row>
    <row r="432" customHeight="1" spans="12:21">
      <c r="L432" s="4"/>
      <c r="M432" s="4"/>
      <c r="U432" s="4"/>
    </row>
    <row r="433" customHeight="1" spans="12:21">
      <c r="L433" s="4"/>
      <c r="M433" s="4"/>
      <c r="U433" s="4"/>
    </row>
    <row r="434" customHeight="1" spans="12:21">
      <c r="L434" s="4"/>
      <c r="M434" s="4"/>
      <c r="U434" s="4"/>
    </row>
    <row r="435" customHeight="1" spans="12:21">
      <c r="L435" s="4"/>
      <c r="M435" s="4"/>
      <c r="U435" s="4"/>
    </row>
    <row r="436" customHeight="1" spans="12:21">
      <c r="L436" s="4"/>
      <c r="M436" s="4"/>
      <c r="U436" s="4"/>
    </row>
    <row r="437" customHeight="1" spans="12:21">
      <c r="L437" s="4"/>
      <c r="M437" s="4"/>
      <c r="U437" s="4"/>
    </row>
    <row r="438" customHeight="1" spans="12:21">
      <c r="L438" s="4"/>
      <c r="M438" s="4"/>
      <c r="U438" s="4"/>
    </row>
    <row r="439" customHeight="1" spans="12:21">
      <c r="L439" s="4"/>
      <c r="M439" s="4"/>
      <c r="U439" s="4"/>
    </row>
    <row r="440" customHeight="1" spans="12:21">
      <c r="L440" s="4"/>
      <c r="M440" s="4"/>
      <c r="U440" s="4"/>
    </row>
    <row r="441" customHeight="1" spans="12:21">
      <c r="L441" s="4"/>
      <c r="M441" s="4"/>
      <c r="U441" s="4"/>
    </row>
    <row r="442" customHeight="1" spans="12:21">
      <c r="L442" s="4"/>
      <c r="M442" s="4"/>
      <c r="U442" s="4"/>
    </row>
    <row r="443" customHeight="1" spans="12:21">
      <c r="L443" s="4"/>
      <c r="M443" s="4"/>
      <c r="U443" s="4"/>
    </row>
    <row r="444" customHeight="1" spans="12:21">
      <c r="L444" s="4"/>
      <c r="M444" s="4"/>
      <c r="U444" s="4"/>
    </row>
    <row r="445" customHeight="1" spans="12:21">
      <c r="L445" s="4"/>
      <c r="M445" s="4"/>
      <c r="U445" s="4"/>
    </row>
    <row r="446" customHeight="1" spans="12:21">
      <c r="L446" s="4"/>
      <c r="M446" s="4"/>
      <c r="U446" s="4"/>
    </row>
    <row r="447" customHeight="1" spans="12:21">
      <c r="L447" s="4"/>
      <c r="M447" s="4"/>
      <c r="U447" s="4"/>
    </row>
    <row r="448" customHeight="1" spans="12:21">
      <c r="L448" s="4"/>
      <c r="M448" s="4"/>
      <c r="U448" s="4"/>
    </row>
    <row r="449" customHeight="1" spans="12:21">
      <c r="L449" s="4"/>
      <c r="M449" s="4"/>
      <c r="U449" s="4"/>
    </row>
    <row r="450" customHeight="1" spans="12:21">
      <c r="L450" s="4"/>
      <c r="M450" s="4"/>
      <c r="U450" s="4"/>
    </row>
    <row r="451" customHeight="1" spans="12:21">
      <c r="L451" s="4"/>
      <c r="M451" s="4"/>
      <c r="U451" s="4"/>
    </row>
    <row r="452" customHeight="1" spans="12:21">
      <c r="L452" s="4"/>
      <c r="M452" s="4"/>
      <c r="U452" s="4"/>
    </row>
    <row r="453" customHeight="1" spans="12:21">
      <c r="L453" s="4"/>
      <c r="M453" s="4"/>
      <c r="U453" s="4"/>
    </row>
    <row r="454" customHeight="1" spans="12:21">
      <c r="L454" s="4"/>
      <c r="M454" s="4"/>
      <c r="U454" s="4"/>
    </row>
    <row r="455" customHeight="1" spans="12:21">
      <c r="L455" s="4"/>
      <c r="M455" s="4"/>
      <c r="U455" s="4"/>
    </row>
    <row r="456" customHeight="1" spans="12:21">
      <c r="L456" s="4"/>
      <c r="M456" s="4"/>
      <c r="U456" s="4"/>
    </row>
    <row r="457" customHeight="1" spans="12:21">
      <c r="L457" s="4"/>
      <c r="M457" s="4"/>
      <c r="U457" s="4"/>
    </row>
    <row r="458" customHeight="1" spans="12:21">
      <c r="L458" s="4"/>
      <c r="M458" s="4"/>
      <c r="U458" s="4"/>
    </row>
    <row r="459" customHeight="1" spans="12:21">
      <c r="L459" s="4"/>
      <c r="M459" s="4"/>
      <c r="U459" s="4"/>
    </row>
    <row r="460" customHeight="1" spans="12:21">
      <c r="L460" s="4"/>
      <c r="M460" s="4"/>
      <c r="U460" s="4"/>
    </row>
    <row r="461" customHeight="1" spans="12:21">
      <c r="L461" s="4"/>
      <c r="M461" s="4"/>
      <c r="U461" s="4"/>
    </row>
    <row r="462" customHeight="1" spans="12:21">
      <c r="L462" s="4"/>
      <c r="M462" s="4"/>
      <c r="U462" s="4"/>
    </row>
    <row r="463" customHeight="1" spans="12:21">
      <c r="L463" s="4"/>
      <c r="M463" s="4"/>
      <c r="U463" s="4"/>
    </row>
    <row r="464" customHeight="1" spans="12:21">
      <c r="L464" s="4"/>
      <c r="M464" s="4"/>
      <c r="U464" s="4"/>
    </row>
    <row r="465" customHeight="1" spans="12:21">
      <c r="L465" s="4"/>
      <c r="M465" s="4"/>
      <c r="U465" s="4"/>
    </row>
    <row r="466" customHeight="1" spans="12:21">
      <c r="L466" s="4"/>
      <c r="M466" s="4"/>
      <c r="U466" s="4"/>
    </row>
    <row r="467" customHeight="1" spans="12:21">
      <c r="L467" s="4"/>
      <c r="M467" s="4"/>
      <c r="U467" s="4"/>
    </row>
    <row r="468" customHeight="1" spans="12:21">
      <c r="L468" s="4"/>
      <c r="M468" s="4"/>
      <c r="U468" s="4"/>
    </row>
    <row r="469" customHeight="1" spans="12:21">
      <c r="L469" s="4"/>
      <c r="M469" s="4"/>
      <c r="U469" s="4"/>
    </row>
    <row r="470" customHeight="1" spans="12:21">
      <c r="L470" s="4"/>
      <c r="M470" s="4"/>
      <c r="U470" s="4"/>
    </row>
    <row r="471" customHeight="1" spans="12:21">
      <c r="L471" s="4"/>
      <c r="M471" s="4"/>
      <c r="U471" s="4"/>
    </row>
    <row r="472" customHeight="1" spans="12:21">
      <c r="L472" s="4"/>
      <c r="M472" s="4"/>
      <c r="U472" s="4"/>
    </row>
    <row r="473" customHeight="1" spans="12:21">
      <c r="L473" s="4"/>
      <c r="M473" s="4"/>
      <c r="U473" s="4"/>
    </row>
    <row r="474" customHeight="1" spans="12:21">
      <c r="L474" s="4"/>
      <c r="M474" s="4"/>
      <c r="U474" s="4"/>
    </row>
    <row r="475" customHeight="1" spans="12:21">
      <c r="L475" s="4"/>
      <c r="M475" s="4"/>
      <c r="U475" s="4"/>
    </row>
    <row r="476" customHeight="1" spans="12:21">
      <c r="L476" s="4"/>
      <c r="M476" s="4"/>
      <c r="U476" s="4"/>
    </row>
    <row r="477" customHeight="1" spans="12:21">
      <c r="L477" s="4"/>
      <c r="M477" s="4"/>
      <c r="U477" s="4"/>
    </row>
    <row r="478" customHeight="1" spans="12:21">
      <c r="L478" s="4"/>
      <c r="M478" s="4"/>
      <c r="U478" s="4"/>
    </row>
    <row r="479" customHeight="1" spans="12:21">
      <c r="L479" s="4"/>
      <c r="M479" s="4"/>
      <c r="U479" s="4"/>
    </row>
    <row r="480" customHeight="1" spans="12:21">
      <c r="L480" s="4"/>
      <c r="M480" s="4"/>
      <c r="U480" s="4"/>
    </row>
    <row r="481" customHeight="1" spans="12:21">
      <c r="L481" s="4"/>
      <c r="M481" s="4"/>
      <c r="U481" s="4"/>
    </row>
    <row r="482" customHeight="1" spans="12:21">
      <c r="L482" s="4"/>
      <c r="M482" s="4"/>
      <c r="U482" s="4"/>
    </row>
    <row r="483" customHeight="1" spans="12:21">
      <c r="L483" s="4"/>
      <c r="M483" s="4"/>
      <c r="U483" s="4"/>
    </row>
    <row r="484" customHeight="1" spans="12:21">
      <c r="L484" s="4"/>
      <c r="M484" s="4"/>
      <c r="U484" s="4"/>
    </row>
    <row r="485" customHeight="1" spans="12:21">
      <c r="L485" s="4"/>
      <c r="M485" s="4"/>
      <c r="U485" s="4"/>
    </row>
    <row r="486" customHeight="1" spans="12:21">
      <c r="L486" s="4"/>
      <c r="M486" s="4"/>
      <c r="U486" s="4"/>
    </row>
    <row r="487" customHeight="1" spans="12:21">
      <c r="L487" s="4"/>
      <c r="M487" s="4"/>
      <c r="U487" s="4"/>
    </row>
    <row r="488" customHeight="1" spans="12:21">
      <c r="L488" s="4"/>
      <c r="M488" s="4"/>
      <c r="U488" s="4"/>
    </row>
    <row r="489" customHeight="1" spans="12:21">
      <c r="L489" s="4"/>
      <c r="M489" s="4"/>
      <c r="U489" s="4"/>
    </row>
    <row r="490" customHeight="1" spans="12:21">
      <c r="L490" s="4"/>
      <c r="M490" s="4"/>
      <c r="U490" s="4"/>
    </row>
    <row r="491" customHeight="1" spans="12:21">
      <c r="L491" s="4"/>
      <c r="M491" s="4"/>
      <c r="U491" s="4"/>
    </row>
    <row r="492" customHeight="1" spans="12:21">
      <c r="L492" s="4"/>
      <c r="M492" s="4"/>
      <c r="U492" s="4"/>
    </row>
    <row r="493" customHeight="1" spans="12:21">
      <c r="L493" s="4"/>
      <c r="M493" s="4"/>
      <c r="U493" s="4"/>
    </row>
    <row r="494" customHeight="1" spans="12:21">
      <c r="L494" s="4"/>
      <c r="M494" s="4"/>
      <c r="U494" s="4"/>
    </row>
    <row r="495" customHeight="1" spans="12:21">
      <c r="L495" s="4"/>
      <c r="M495" s="4"/>
      <c r="U495" s="4"/>
    </row>
    <row r="496" customHeight="1" spans="12:21">
      <c r="L496" s="4"/>
      <c r="M496" s="4"/>
      <c r="U496" s="4"/>
    </row>
    <row r="497" customHeight="1" spans="12:21">
      <c r="L497" s="4"/>
      <c r="M497" s="4"/>
      <c r="U497" s="4"/>
    </row>
    <row r="498" customHeight="1" spans="12:21">
      <c r="L498" s="4"/>
      <c r="M498" s="4"/>
      <c r="U498" s="4"/>
    </row>
    <row r="499" customHeight="1" spans="12:21">
      <c r="L499" s="4"/>
      <c r="M499" s="4"/>
      <c r="U499" s="4"/>
    </row>
    <row r="500" customHeight="1" spans="12:21">
      <c r="L500" s="4"/>
      <c r="M500" s="4"/>
      <c r="U500" s="4"/>
    </row>
    <row r="501" customHeight="1" spans="12:21">
      <c r="L501" s="4"/>
      <c r="M501" s="4"/>
      <c r="U501" s="4"/>
    </row>
    <row r="502" customHeight="1" spans="12:21">
      <c r="L502" s="4"/>
      <c r="M502" s="4"/>
      <c r="U502" s="4"/>
    </row>
    <row r="503" customHeight="1" spans="12:21">
      <c r="L503" s="4"/>
      <c r="M503" s="4"/>
      <c r="U503" s="4"/>
    </row>
    <row r="504" customHeight="1" spans="12:21">
      <c r="L504" s="4"/>
      <c r="M504" s="4"/>
      <c r="U504" s="4"/>
    </row>
    <row r="505" customHeight="1" spans="12:21">
      <c r="L505" s="4"/>
      <c r="M505" s="4"/>
      <c r="U505" s="4"/>
    </row>
    <row r="506" customHeight="1" spans="12:21">
      <c r="L506" s="4"/>
      <c r="M506" s="4"/>
      <c r="U506" s="4"/>
    </row>
    <row r="507" customHeight="1" spans="12:21">
      <c r="L507" s="4"/>
      <c r="M507" s="4"/>
      <c r="U507" s="4"/>
    </row>
    <row r="508" customHeight="1" spans="12:21">
      <c r="L508" s="4"/>
      <c r="M508" s="4"/>
      <c r="U508" s="4"/>
    </row>
    <row r="509" customHeight="1" spans="12:21">
      <c r="L509" s="4"/>
      <c r="M509" s="4"/>
      <c r="U509" s="4"/>
    </row>
    <row r="510" customHeight="1" spans="12:21">
      <c r="L510" s="4"/>
      <c r="M510" s="4"/>
      <c r="U510" s="4"/>
    </row>
    <row r="511" customHeight="1" spans="12:21">
      <c r="L511" s="4"/>
      <c r="M511" s="4"/>
      <c r="U511" s="4"/>
    </row>
    <row r="512" customHeight="1" spans="12:21">
      <c r="L512" s="4"/>
      <c r="M512" s="4"/>
      <c r="U512" s="4"/>
    </row>
    <row r="513" customHeight="1" spans="12:21">
      <c r="L513" s="4"/>
      <c r="M513" s="4"/>
      <c r="U513" s="4"/>
    </row>
    <row r="514" customHeight="1" spans="12:21">
      <c r="L514" s="4"/>
      <c r="M514" s="4"/>
      <c r="U514" s="4"/>
    </row>
    <row r="515" customHeight="1" spans="12:21">
      <c r="L515" s="4"/>
      <c r="M515" s="4"/>
      <c r="U515" s="4"/>
    </row>
    <row r="516" customHeight="1" spans="12:21">
      <c r="L516" s="4"/>
      <c r="M516" s="4"/>
      <c r="U516" s="4"/>
    </row>
    <row r="517" customHeight="1" spans="12:21">
      <c r="L517" s="4"/>
      <c r="M517" s="4"/>
      <c r="U517" s="4"/>
    </row>
    <row r="518" customHeight="1" spans="12:21">
      <c r="L518" s="4"/>
      <c r="M518" s="4"/>
      <c r="U518" s="4"/>
    </row>
    <row r="519" customHeight="1" spans="12:21">
      <c r="L519" s="4"/>
      <c r="M519" s="4"/>
      <c r="U519" s="4"/>
    </row>
    <row r="520" customHeight="1" spans="12:21">
      <c r="L520" s="4"/>
      <c r="M520" s="4"/>
      <c r="U520" s="4"/>
    </row>
    <row r="521" customHeight="1" spans="12:21">
      <c r="L521" s="4"/>
      <c r="M521" s="4"/>
      <c r="U521" s="4"/>
    </row>
    <row r="522" customHeight="1" spans="12:21">
      <c r="L522" s="4"/>
      <c r="M522" s="4"/>
      <c r="U522" s="4"/>
    </row>
    <row r="523" customHeight="1" spans="12:21">
      <c r="L523" s="4"/>
      <c r="M523" s="4"/>
      <c r="U523" s="4"/>
    </row>
    <row r="524" customHeight="1" spans="12:21">
      <c r="L524" s="4"/>
      <c r="M524" s="4"/>
      <c r="U524" s="4"/>
    </row>
    <row r="525" customHeight="1" spans="12:21">
      <c r="L525" s="4"/>
      <c r="M525" s="4"/>
      <c r="U525" s="4"/>
    </row>
    <row r="526" customHeight="1" spans="12:21">
      <c r="L526" s="4"/>
      <c r="M526" s="4"/>
      <c r="U526" s="4"/>
    </row>
    <row r="527" customHeight="1" spans="12:21">
      <c r="L527" s="4"/>
      <c r="M527" s="4"/>
      <c r="U527" s="4"/>
    </row>
    <row r="528" customHeight="1" spans="12:21">
      <c r="L528" s="4"/>
      <c r="M528" s="4"/>
      <c r="U528" s="4"/>
    </row>
    <row r="529" customHeight="1" spans="12:21">
      <c r="L529" s="4"/>
      <c r="M529" s="4"/>
      <c r="U529" s="4"/>
    </row>
    <row r="530" customHeight="1" spans="12:21">
      <c r="L530" s="4"/>
      <c r="M530" s="4"/>
      <c r="U530" s="4"/>
    </row>
    <row r="531" customHeight="1" spans="12:21">
      <c r="L531" s="4"/>
      <c r="M531" s="4"/>
      <c r="U531" s="4"/>
    </row>
    <row r="532" customHeight="1" spans="12:21">
      <c r="L532" s="4"/>
      <c r="M532" s="4"/>
      <c r="U532" s="4"/>
    </row>
    <row r="533" customHeight="1" spans="12:21">
      <c r="L533" s="4"/>
      <c r="M533" s="4"/>
      <c r="U533" s="4"/>
    </row>
    <row r="534" customHeight="1" spans="12:21">
      <c r="L534" s="4"/>
      <c r="M534" s="4"/>
      <c r="U534" s="4"/>
    </row>
    <row r="535" customHeight="1" spans="12:21">
      <c r="L535" s="4"/>
      <c r="M535" s="4"/>
      <c r="U535" s="4"/>
    </row>
    <row r="536" customHeight="1" spans="12:21">
      <c r="L536" s="4"/>
      <c r="M536" s="4"/>
      <c r="U536" s="4"/>
    </row>
    <row r="537" customHeight="1" spans="12:21">
      <c r="L537" s="4"/>
      <c r="M537" s="4"/>
      <c r="U537" s="4"/>
    </row>
    <row r="538" customHeight="1" spans="12:21">
      <c r="L538" s="4"/>
      <c r="M538" s="4"/>
      <c r="U538" s="4"/>
    </row>
    <row r="539" customHeight="1" spans="12:21">
      <c r="L539" s="4"/>
      <c r="M539" s="4"/>
      <c r="U539" s="4"/>
    </row>
    <row r="540" customHeight="1" spans="12:21">
      <c r="L540" s="4"/>
      <c r="M540" s="4"/>
      <c r="U540" s="4"/>
    </row>
    <row r="541" customHeight="1" spans="12:21">
      <c r="L541" s="4"/>
      <c r="M541" s="4"/>
      <c r="U541" s="4"/>
    </row>
    <row r="542" customHeight="1" spans="12:21">
      <c r="L542" s="4"/>
      <c r="M542" s="4"/>
      <c r="U542" s="4"/>
    </row>
    <row r="543" customHeight="1" spans="12:21">
      <c r="L543" s="4"/>
      <c r="M543" s="4"/>
      <c r="U543" s="4"/>
    </row>
    <row r="544" customHeight="1" spans="12:21">
      <c r="L544" s="4"/>
      <c r="M544" s="4"/>
      <c r="U544" s="4"/>
    </row>
    <row r="545" customHeight="1" spans="12:21">
      <c r="L545" s="4"/>
      <c r="M545" s="4"/>
      <c r="U545" s="4"/>
    </row>
    <row r="546" customHeight="1" spans="12:21">
      <c r="L546" s="4"/>
      <c r="M546" s="4"/>
      <c r="U546" s="4"/>
    </row>
    <row r="547" customHeight="1" spans="12:21">
      <c r="L547" s="4"/>
      <c r="M547" s="4"/>
      <c r="U547" s="4"/>
    </row>
    <row r="548" customHeight="1" spans="12:21">
      <c r="L548" s="4"/>
      <c r="M548" s="4"/>
      <c r="U548" s="4"/>
    </row>
    <row r="549" customHeight="1" spans="12:21">
      <c r="L549" s="4"/>
      <c r="M549" s="4"/>
      <c r="U549" s="4"/>
    </row>
    <row r="550" customHeight="1" spans="12:21">
      <c r="L550" s="4"/>
      <c r="M550" s="4"/>
      <c r="U550" s="4"/>
    </row>
    <row r="551" customHeight="1" spans="12:21">
      <c r="L551" s="4"/>
      <c r="M551" s="4"/>
      <c r="U551" s="4"/>
    </row>
    <row r="552" customHeight="1" spans="12:21">
      <c r="L552" s="4"/>
      <c r="M552" s="4"/>
      <c r="U552" s="4"/>
    </row>
    <row r="553" customHeight="1" spans="12:21">
      <c r="L553" s="4"/>
      <c r="M553" s="4"/>
      <c r="U553" s="4"/>
    </row>
    <row r="554" customHeight="1" spans="12:21">
      <c r="L554" s="4"/>
      <c r="M554" s="4"/>
      <c r="U554" s="4"/>
    </row>
    <row r="555" customHeight="1" spans="12:21">
      <c r="L555" s="4"/>
      <c r="M555" s="4"/>
      <c r="U555" s="4"/>
    </row>
    <row r="556" customHeight="1" spans="12:21">
      <c r="L556" s="4"/>
      <c r="M556" s="4"/>
      <c r="U556" s="4"/>
    </row>
    <row r="557" customHeight="1" spans="12:21">
      <c r="L557" s="4"/>
      <c r="M557" s="4"/>
      <c r="U557" s="4"/>
    </row>
    <row r="558" customHeight="1" spans="12:21">
      <c r="L558" s="4"/>
      <c r="M558" s="4"/>
      <c r="U558" s="4"/>
    </row>
    <row r="559" customHeight="1" spans="12:21">
      <c r="L559" s="4"/>
      <c r="M559" s="4"/>
      <c r="U559" s="4"/>
    </row>
    <row r="560" customHeight="1" spans="12:21">
      <c r="L560" s="4"/>
      <c r="M560" s="4"/>
      <c r="U560" s="4"/>
    </row>
    <row r="561" customHeight="1" spans="12:21">
      <c r="L561" s="4"/>
      <c r="M561" s="4"/>
      <c r="U561" s="4"/>
    </row>
    <row r="562" customHeight="1" spans="12:21">
      <c r="L562" s="4"/>
      <c r="M562" s="4"/>
      <c r="U562" s="4"/>
    </row>
    <row r="563" customHeight="1" spans="12:21">
      <c r="L563" s="4"/>
      <c r="M563" s="4"/>
      <c r="U563" s="4"/>
    </row>
    <row r="564" customHeight="1" spans="12:21">
      <c r="L564" s="4"/>
      <c r="M564" s="4"/>
      <c r="U564" s="4"/>
    </row>
    <row r="565" customHeight="1" spans="12:21">
      <c r="L565" s="4"/>
      <c r="M565" s="4"/>
      <c r="U565" s="4"/>
    </row>
    <row r="566" customHeight="1" spans="12:21">
      <c r="L566" s="4"/>
      <c r="M566" s="4"/>
      <c r="U566" s="4"/>
    </row>
    <row r="567" customHeight="1" spans="12:21">
      <c r="L567" s="4"/>
      <c r="M567" s="4"/>
      <c r="U567" s="4"/>
    </row>
    <row r="568" customHeight="1" spans="12:21">
      <c r="L568" s="4"/>
      <c r="M568" s="4"/>
      <c r="U568" s="4"/>
    </row>
    <row r="569" customHeight="1" spans="12:21">
      <c r="L569" s="4"/>
      <c r="M569" s="4"/>
      <c r="U569" s="4"/>
    </row>
    <row r="570" customHeight="1" spans="12:21">
      <c r="L570" s="4"/>
      <c r="M570" s="4"/>
      <c r="U570" s="4"/>
    </row>
    <row r="571" customHeight="1" spans="12:21">
      <c r="L571" s="4"/>
      <c r="M571" s="4"/>
      <c r="U571" s="4"/>
    </row>
    <row r="572" customHeight="1" spans="12:21">
      <c r="L572" s="4"/>
      <c r="M572" s="4"/>
      <c r="U572" s="4"/>
    </row>
    <row r="573" customHeight="1" spans="12:21">
      <c r="L573" s="4"/>
      <c r="M573" s="4"/>
      <c r="U573" s="4"/>
    </row>
    <row r="574" customHeight="1" spans="12:21">
      <c r="L574" s="4"/>
      <c r="M574" s="4"/>
      <c r="U574" s="4"/>
    </row>
    <row r="575" customHeight="1" spans="12:21">
      <c r="L575" s="4"/>
      <c r="M575" s="4"/>
      <c r="U575" s="4"/>
    </row>
    <row r="576" customHeight="1" spans="12:21">
      <c r="L576" s="4"/>
      <c r="M576" s="4"/>
      <c r="U576" s="4"/>
    </row>
    <row r="577" customHeight="1" spans="12:21">
      <c r="L577" s="4"/>
      <c r="M577" s="4"/>
      <c r="U577" s="4"/>
    </row>
    <row r="578" customHeight="1" spans="12:21">
      <c r="L578" s="4"/>
      <c r="M578" s="4"/>
      <c r="U578" s="4"/>
    </row>
    <row r="579" customHeight="1" spans="12:21">
      <c r="L579" s="4"/>
      <c r="M579" s="4"/>
      <c r="U579" s="4"/>
    </row>
    <row r="580" customHeight="1" spans="12:21">
      <c r="L580" s="4"/>
      <c r="M580" s="4"/>
      <c r="U580" s="4"/>
    </row>
    <row r="581" customHeight="1" spans="12:21">
      <c r="L581" s="4"/>
      <c r="M581" s="4"/>
      <c r="U581" s="4"/>
    </row>
    <row r="582" customHeight="1" spans="12:21">
      <c r="L582" s="4"/>
      <c r="M582" s="4"/>
      <c r="U582" s="4"/>
    </row>
    <row r="583" customHeight="1" spans="12:21">
      <c r="L583" s="4"/>
      <c r="M583" s="4"/>
      <c r="U583" s="4"/>
    </row>
    <row r="584" customHeight="1" spans="12:21">
      <c r="L584" s="4"/>
      <c r="M584" s="4"/>
      <c r="U584" s="4"/>
    </row>
    <row r="585" customHeight="1" spans="12:21">
      <c r="L585" s="4"/>
      <c r="M585" s="4"/>
      <c r="U585" s="4"/>
    </row>
    <row r="586" customHeight="1" spans="12:21">
      <c r="L586" s="4"/>
      <c r="M586" s="4"/>
      <c r="U586" s="4"/>
    </row>
    <row r="587" customHeight="1" spans="12:21">
      <c r="L587" s="4"/>
      <c r="M587" s="4"/>
      <c r="U587" s="4"/>
    </row>
    <row r="588" customHeight="1" spans="12:21">
      <c r="L588" s="4"/>
      <c r="M588" s="4"/>
      <c r="U588" s="4"/>
    </row>
    <row r="589" customHeight="1" spans="12:21">
      <c r="L589" s="4"/>
      <c r="M589" s="4"/>
      <c r="U589" s="4"/>
    </row>
    <row r="590" customHeight="1" spans="12:21">
      <c r="L590" s="4"/>
      <c r="M590" s="4"/>
      <c r="U590" s="4"/>
    </row>
    <row r="591" customHeight="1" spans="12:21">
      <c r="L591" s="4"/>
      <c r="M591" s="4"/>
      <c r="U591" s="4"/>
    </row>
    <row r="592" customHeight="1" spans="12:21">
      <c r="L592" s="4"/>
      <c r="M592" s="4"/>
      <c r="U592" s="4"/>
    </row>
    <row r="593" customHeight="1" spans="12:21">
      <c r="L593" s="4"/>
      <c r="M593" s="4"/>
      <c r="U593" s="4"/>
    </row>
    <row r="594" customHeight="1" spans="12:21">
      <c r="L594" s="4"/>
      <c r="M594" s="4"/>
      <c r="U594" s="4"/>
    </row>
    <row r="595" customHeight="1" spans="12:21">
      <c r="L595" s="4"/>
      <c r="M595" s="4"/>
      <c r="U595" s="4"/>
    </row>
    <row r="596" customHeight="1" spans="12:21">
      <c r="L596" s="4"/>
      <c r="M596" s="4"/>
      <c r="U596" s="4"/>
    </row>
    <row r="597" customHeight="1" spans="12:21">
      <c r="L597" s="4"/>
      <c r="M597" s="4"/>
      <c r="U597" s="4"/>
    </row>
    <row r="598" customHeight="1" spans="12:21">
      <c r="L598" s="4"/>
      <c r="M598" s="4"/>
      <c r="U598" s="4"/>
    </row>
    <row r="599" customHeight="1" spans="12:21">
      <c r="L599" s="4"/>
      <c r="M599" s="4"/>
      <c r="U599" s="4"/>
    </row>
    <row r="600" customHeight="1" spans="12:21">
      <c r="L600" s="4"/>
      <c r="M600" s="4"/>
      <c r="U600" s="4"/>
    </row>
    <row r="601" customHeight="1" spans="12:21">
      <c r="L601" s="4"/>
      <c r="M601" s="4"/>
      <c r="U601" s="4"/>
    </row>
    <row r="602" customHeight="1" spans="12:21">
      <c r="L602" s="4"/>
      <c r="M602" s="4"/>
      <c r="U602" s="4"/>
    </row>
    <row r="603" customHeight="1" spans="12:21">
      <c r="L603" s="4"/>
      <c r="M603" s="4"/>
      <c r="U603" s="4"/>
    </row>
    <row r="604" customHeight="1" spans="12:21">
      <c r="L604" s="4"/>
      <c r="M604" s="4"/>
      <c r="U604" s="4"/>
    </row>
    <row r="605" customHeight="1" spans="12:21">
      <c r="L605" s="4"/>
      <c r="M605" s="4"/>
      <c r="U605" s="4"/>
    </row>
    <row r="606" customHeight="1" spans="12:21">
      <c r="L606" s="4"/>
      <c r="M606" s="4"/>
      <c r="U606" s="4"/>
    </row>
    <row r="607" customHeight="1" spans="12:21">
      <c r="L607" s="4"/>
      <c r="M607" s="4"/>
      <c r="U607" s="4"/>
    </row>
    <row r="608" customHeight="1" spans="12:21">
      <c r="L608" s="4"/>
      <c r="M608" s="4"/>
      <c r="U608" s="4"/>
    </row>
    <row r="609" customHeight="1" spans="12:21">
      <c r="L609" s="4"/>
      <c r="M609" s="4"/>
      <c r="U609" s="4"/>
    </row>
    <row r="610" customHeight="1" spans="12:21">
      <c r="L610" s="4"/>
      <c r="M610" s="4"/>
      <c r="U610" s="4"/>
    </row>
    <row r="611" customHeight="1" spans="12:21">
      <c r="L611" s="4"/>
      <c r="M611" s="4"/>
      <c r="U611" s="4"/>
    </row>
    <row r="612" customHeight="1" spans="12:21">
      <c r="L612" s="4"/>
      <c r="M612" s="4"/>
      <c r="U612" s="4"/>
    </row>
    <row r="613" customHeight="1" spans="12:21">
      <c r="L613" s="4"/>
      <c r="M613" s="4"/>
      <c r="U613" s="4"/>
    </row>
    <row r="614" customHeight="1" spans="12:21">
      <c r="L614" s="4"/>
      <c r="M614" s="4"/>
      <c r="U614" s="4"/>
    </row>
    <row r="615" customHeight="1" spans="12:21">
      <c r="L615" s="4"/>
      <c r="M615" s="4"/>
      <c r="U615" s="4"/>
    </row>
    <row r="616" customHeight="1" spans="12:21">
      <c r="L616" s="4"/>
      <c r="M616" s="4"/>
      <c r="U616" s="4"/>
    </row>
    <row r="617" customHeight="1" spans="12:21">
      <c r="L617" s="4"/>
      <c r="M617" s="4"/>
      <c r="U617" s="4"/>
    </row>
    <row r="618" customHeight="1" spans="12:21">
      <c r="L618" s="4"/>
      <c r="M618" s="4"/>
      <c r="U618" s="4"/>
    </row>
    <row r="619" customHeight="1" spans="12:21">
      <c r="L619" s="4"/>
      <c r="M619" s="4"/>
      <c r="U619" s="4"/>
    </row>
    <row r="620" customHeight="1" spans="12:21">
      <c r="L620" s="4"/>
      <c r="M620" s="4"/>
      <c r="U620" s="4"/>
    </row>
    <row r="621" customHeight="1" spans="12:21">
      <c r="L621" s="4"/>
      <c r="M621" s="4"/>
      <c r="U621" s="4"/>
    </row>
    <row r="622" customHeight="1" spans="12:21">
      <c r="L622" s="4"/>
      <c r="M622" s="4"/>
      <c r="U622" s="4"/>
    </row>
    <row r="623" customHeight="1" spans="12:21">
      <c r="L623" s="4"/>
      <c r="M623" s="4"/>
      <c r="U623" s="4"/>
    </row>
    <row r="624" customHeight="1" spans="12:21">
      <c r="L624" s="4"/>
      <c r="M624" s="4"/>
      <c r="U624" s="4"/>
    </row>
    <row r="625" customHeight="1" spans="12:21">
      <c r="L625" s="4"/>
      <c r="M625" s="4"/>
      <c r="U625" s="4"/>
    </row>
    <row r="626" customHeight="1" spans="12:21">
      <c r="L626" s="4"/>
      <c r="M626" s="4"/>
      <c r="U626" s="4"/>
    </row>
    <row r="627" customHeight="1" spans="12:21">
      <c r="L627" s="4"/>
      <c r="M627" s="4"/>
      <c r="U627" s="4"/>
    </row>
    <row r="628" customHeight="1" spans="12:21">
      <c r="L628" s="4"/>
      <c r="M628" s="4"/>
      <c r="U628" s="4"/>
    </row>
    <row r="629" customHeight="1" spans="12:21">
      <c r="L629" s="4"/>
      <c r="M629" s="4"/>
      <c r="U629" s="4"/>
    </row>
    <row r="630" customHeight="1" spans="12:21">
      <c r="L630" s="4"/>
      <c r="M630" s="4"/>
      <c r="U630" s="4"/>
    </row>
    <row r="631" customHeight="1" spans="12:21">
      <c r="L631" s="4"/>
      <c r="M631" s="4"/>
      <c r="U631" s="4"/>
    </row>
    <row r="632" customHeight="1" spans="12:21">
      <c r="L632" s="4"/>
      <c r="M632" s="4"/>
      <c r="U632" s="4"/>
    </row>
    <row r="633" customHeight="1" spans="12:21">
      <c r="L633" s="4"/>
      <c r="M633" s="4"/>
      <c r="U633" s="4"/>
    </row>
    <row r="634" customHeight="1" spans="12:21">
      <c r="L634" s="4"/>
      <c r="M634" s="4"/>
      <c r="U634" s="4"/>
    </row>
    <row r="635" customHeight="1" spans="12:21">
      <c r="L635" s="4"/>
      <c r="M635" s="4"/>
      <c r="U635" s="4"/>
    </row>
    <row r="636" customHeight="1" spans="12:21">
      <c r="L636" s="4"/>
      <c r="M636" s="4"/>
      <c r="U636" s="4"/>
    </row>
    <row r="637" customHeight="1" spans="12:21">
      <c r="L637" s="4"/>
      <c r="M637" s="4"/>
      <c r="U637" s="4"/>
    </row>
    <row r="638" customHeight="1" spans="12:21">
      <c r="L638" s="4"/>
      <c r="M638" s="4"/>
      <c r="U638" s="4"/>
    </row>
    <row r="639" customHeight="1" spans="12:21">
      <c r="L639" s="4"/>
      <c r="M639" s="4"/>
      <c r="U639" s="4"/>
    </row>
    <row r="640" customHeight="1" spans="12:21">
      <c r="L640" s="4"/>
      <c r="M640" s="4"/>
      <c r="U640" s="4"/>
    </row>
    <row r="641" customHeight="1" spans="12:21">
      <c r="L641" s="4"/>
      <c r="M641" s="4"/>
      <c r="U641" s="4"/>
    </row>
    <row r="642" customHeight="1" spans="12:21">
      <c r="L642" s="4"/>
      <c r="M642" s="4"/>
      <c r="U642" s="4"/>
    </row>
    <row r="643" customHeight="1" spans="12:21">
      <c r="L643" s="4"/>
      <c r="M643" s="4"/>
      <c r="U643" s="4"/>
    </row>
    <row r="644" customHeight="1" spans="12:21">
      <c r="L644" s="4"/>
      <c r="M644" s="4"/>
      <c r="U644" s="4"/>
    </row>
    <row r="645" customHeight="1" spans="12:21">
      <c r="L645" s="4"/>
      <c r="M645" s="4"/>
      <c r="U645" s="4"/>
    </row>
    <row r="646" customHeight="1" spans="12:21">
      <c r="L646" s="4"/>
      <c r="M646" s="4"/>
      <c r="U646" s="4"/>
    </row>
    <row r="647" customHeight="1" spans="12:21">
      <c r="L647" s="4"/>
      <c r="M647" s="4"/>
      <c r="U647" s="4"/>
    </row>
    <row r="648" customHeight="1" spans="12:21">
      <c r="L648" s="4"/>
      <c r="M648" s="4"/>
      <c r="U648" s="4"/>
    </row>
    <row r="649" customHeight="1" spans="12:21">
      <c r="L649" s="4"/>
      <c r="M649" s="4"/>
      <c r="U649" s="4"/>
    </row>
    <row r="650" customHeight="1" spans="12:21">
      <c r="L650" s="4"/>
      <c r="M650" s="4"/>
      <c r="U650" s="4"/>
    </row>
    <row r="651" customHeight="1" spans="12:21">
      <c r="L651" s="4"/>
      <c r="M651" s="4"/>
      <c r="U651" s="4"/>
    </row>
    <row r="652" customHeight="1" spans="12:21">
      <c r="L652" s="4"/>
      <c r="M652" s="4"/>
      <c r="U652" s="4"/>
    </row>
    <row r="653" customHeight="1" spans="12:21">
      <c r="L653" s="4"/>
      <c r="M653" s="4"/>
      <c r="U653" s="4"/>
    </row>
    <row r="654" customHeight="1" spans="12:21">
      <c r="L654" s="4"/>
      <c r="M654" s="4"/>
      <c r="U654" s="4"/>
    </row>
    <row r="655" customHeight="1" spans="12:21">
      <c r="L655" s="4"/>
      <c r="M655" s="4"/>
      <c r="U655" s="4"/>
    </row>
    <row r="656" customHeight="1" spans="12:21">
      <c r="L656" s="4"/>
      <c r="M656" s="4"/>
      <c r="U656" s="4"/>
    </row>
    <row r="657" customHeight="1" spans="12:21">
      <c r="L657" s="4"/>
      <c r="M657" s="4"/>
      <c r="U657" s="4"/>
    </row>
    <row r="658" customHeight="1" spans="12:21">
      <c r="L658" s="4"/>
      <c r="M658" s="4"/>
      <c r="U658" s="4"/>
    </row>
    <row r="659" customHeight="1" spans="12:21">
      <c r="L659" s="4"/>
      <c r="M659" s="4"/>
      <c r="U659" s="4"/>
    </row>
    <row r="660" customHeight="1" spans="12:21">
      <c r="L660" s="4"/>
      <c r="M660" s="4"/>
      <c r="U660" s="4"/>
    </row>
    <row r="661" customHeight="1" spans="12:21">
      <c r="L661" s="4"/>
      <c r="M661" s="4"/>
      <c r="U661" s="4"/>
    </row>
    <row r="662" customHeight="1" spans="12:21">
      <c r="L662" s="4"/>
      <c r="M662" s="4"/>
      <c r="U662" s="4"/>
    </row>
    <row r="663" customHeight="1" spans="12:21">
      <c r="L663" s="4"/>
      <c r="M663" s="4"/>
      <c r="U663" s="4"/>
    </row>
    <row r="664" customHeight="1" spans="12:21">
      <c r="L664" s="4"/>
      <c r="M664" s="4"/>
      <c r="U664" s="4"/>
    </row>
    <row r="665" customHeight="1" spans="12:21">
      <c r="L665" s="4"/>
      <c r="M665" s="4"/>
      <c r="U665" s="4"/>
    </row>
    <row r="666" customHeight="1" spans="12:21">
      <c r="L666" s="4"/>
      <c r="M666" s="4"/>
      <c r="U666" s="4"/>
    </row>
    <row r="667" customHeight="1" spans="12:21">
      <c r="L667" s="4"/>
      <c r="M667" s="4"/>
      <c r="U667" s="4"/>
    </row>
    <row r="668" customHeight="1" spans="12:21">
      <c r="L668" s="4"/>
      <c r="M668" s="4"/>
      <c r="U668" s="4"/>
    </row>
    <row r="669" customHeight="1" spans="12:21">
      <c r="L669" s="4"/>
      <c r="M669" s="4"/>
      <c r="U669" s="4"/>
    </row>
    <row r="670" customHeight="1" spans="12:21">
      <c r="L670" s="4"/>
      <c r="M670" s="4"/>
      <c r="U670" s="4"/>
    </row>
    <row r="671" customHeight="1" spans="12:21">
      <c r="L671" s="4"/>
      <c r="M671" s="4"/>
      <c r="U671" s="4"/>
    </row>
    <row r="672" customHeight="1" spans="12:21">
      <c r="L672" s="4"/>
      <c r="M672" s="4"/>
      <c r="U672" s="4"/>
    </row>
    <row r="673" customHeight="1" spans="12:21">
      <c r="L673" s="4"/>
      <c r="M673" s="4"/>
      <c r="U673" s="4"/>
    </row>
    <row r="674" customHeight="1" spans="12:21">
      <c r="L674" s="4"/>
      <c r="M674" s="4"/>
      <c r="U674" s="4"/>
    </row>
    <row r="675" customHeight="1" spans="12:21">
      <c r="L675" s="4"/>
      <c r="M675" s="4"/>
      <c r="U675" s="4"/>
    </row>
    <row r="676" customHeight="1" spans="12:21">
      <c r="L676" s="4"/>
      <c r="M676" s="4"/>
      <c r="U676" s="4"/>
    </row>
    <row r="677" customHeight="1" spans="12:21">
      <c r="L677" s="4"/>
      <c r="M677" s="4"/>
      <c r="U677" s="4"/>
    </row>
    <row r="678" customHeight="1" spans="12:21">
      <c r="L678" s="4"/>
      <c r="M678" s="4"/>
      <c r="U678" s="4"/>
    </row>
    <row r="679" customHeight="1" spans="12:21">
      <c r="L679" s="4"/>
      <c r="M679" s="4"/>
      <c r="U679" s="4"/>
    </row>
    <row r="680" customHeight="1" spans="12:21">
      <c r="L680" s="4"/>
      <c r="M680" s="4"/>
      <c r="U680" s="4"/>
    </row>
    <row r="681" customHeight="1" spans="12:21">
      <c r="L681" s="4"/>
      <c r="M681" s="4"/>
      <c r="U681" s="4"/>
    </row>
    <row r="682" customHeight="1" spans="12:21">
      <c r="L682" s="4"/>
      <c r="M682" s="4"/>
      <c r="U682" s="4"/>
    </row>
    <row r="683" customHeight="1" spans="12:21">
      <c r="L683" s="4"/>
      <c r="M683" s="4"/>
      <c r="U683" s="4"/>
    </row>
    <row r="684" customHeight="1" spans="12:21">
      <c r="L684" s="4"/>
      <c r="M684" s="4"/>
      <c r="U684" s="4"/>
    </row>
    <row r="685" customHeight="1" spans="12:21">
      <c r="L685" s="4"/>
      <c r="M685" s="4"/>
      <c r="U685" s="4"/>
    </row>
    <row r="686" customHeight="1" spans="12:21">
      <c r="L686" s="4"/>
      <c r="M686" s="4"/>
      <c r="U686" s="4"/>
    </row>
    <row r="687" customHeight="1" spans="12:21">
      <c r="L687" s="4"/>
      <c r="M687" s="4"/>
      <c r="U687" s="4"/>
    </row>
    <row r="688" customHeight="1" spans="12:21">
      <c r="L688" s="4"/>
      <c r="M688" s="4"/>
      <c r="U688" s="4"/>
    </row>
    <row r="689" customHeight="1" spans="12:21">
      <c r="L689" s="4"/>
      <c r="M689" s="4"/>
      <c r="U689" s="4"/>
    </row>
    <row r="690" customHeight="1" spans="12:21">
      <c r="L690" s="4"/>
      <c r="M690" s="4"/>
      <c r="U690" s="4"/>
    </row>
    <row r="691" customHeight="1" spans="12:21">
      <c r="L691" s="4"/>
      <c r="M691" s="4"/>
      <c r="U691" s="4"/>
    </row>
    <row r="692" customHeight="1" spans="12:21">
      <c r="L692" s="4"/>
      <c r="M692" s="4"/>
      <c r="U692" s="4"/>
    </row>
    <row r="693" customHeight="1" spans="12:21">
      <c r="L693" s="4"/>
      <c r="M693" s="4"/>
      <c r="U693" s="4"/>
    </row>
    <row r="694" customHeight="1" spans="12:21">
      <c r="L694" s="4"/>
      <c r="M694" s="4"/>
      <c r="U694" s="4"/>
    </row>
    <row r="695" customHeight="1" spans="12:21">
      <c r="L695" s="4"/>
      <c r="M695" s="4"/>
      <c r="U695" s="4"/>
    </row>
    <row r="696" customHeight="1" spans="12:21">
      <c r="L696" s="4"/>
      <c r="M696" s="4"/>
      <c r="U696" s="4"/>
    </row>
    <row r="697" customHeight="1" spans="12:21">
      <c r="L697" s="4"/>
      <c r="M697" s="4"/>
      <c r="U697" s="4"/>
    </row>
    <row r="698" customHeight="1" spans="12:21">
      <c r="L698" s="4"/>
      <c r="M698" s="4"/>
      <c r="U698" s="4"/>
    </row>
    <row r="699" customHeight="1" spans="12:21">
      <c r="L699" s="4"/>
      <c r="M699" s="4"/>
      <c r="U699" s="4"/>
    </row>
    <row r="700" customHeight="1" spans="12:21">
      <c r="L700" s="4"/>
      <c r="M700" s="4"/>
      <c r="U700" s="4"/>
    </row>
    <row r="701" customHeight="1" spans="12:21">
      <c r="L701" s="4"/>
      <c r="M701" s="4"/>
      <c r="U701" s="4"/>
    </row>
    <row r="702" customHeight="1" spans="12:21">
      <c r="L702" s="4"/>
      <c r="M702" s="4"/>
      <c r="U702" s="4"/>
    </row>
    <row r="703" customHeight="1" spans="12:21">
      <c r="L703" s="4"/>
      <c r="M703" s="4"/>
      <c r="U703" s="4"/>
    </row>
    <row r="704" customHeight="1" spans="12:21">
      <c r="L704" s="4"/>
      <c r="M704" s="4"/>
      <c r="U704" s="4"/>
    </row>
    <row r="705" customHeight="1" spans="12:21">
      <c r="L705" s="4"/>
      <c r="M705" s="4"/>
      <c r="U705" s="4"/>
    </row>
    <row r="706" customHeight="1" spans="12:21">
      <c r="L706" s="4"/>
      <c r="M706" s="4"/>
      <c r="U706" s="4"/>
    </row>
    <row r="707" customHeight="1" spans="12:21">
      <c r="L707" s="4"/>
      <c r="M707" s="4"/>
      <c r="U707" s="4"/>
    </row>
    <row r="708" customHeight="1" spans="12:21">
      <c r="L708" s="4"/>
      <c r="M708" s="4"/>
      <c r="U708" s="4"/>
    </row>
    <row r="709" customHeight="1" spans="12:21">
      <c r="L709" s="4"/>
      <c r="M709" s="4"/>
      <c r="U709" s="4"/>
    </row>
    <row r="710" customHeight="1" spans="12:21">
      <c r="L710" s="4"/>
      <c r="M710" s="4"/>
      <c r="U710" s="4"/>
    </row>
    <row r="711" customHeight="1" spans="12:21">
      <c r="L711" s="4"/>
      <c r="M711" s="4"/>
      <c r="U711" s="4"/>
    </row>
    <row r="712" customHeight="1" spans="12:21">
      <c r="L712" s="4"/>
      <c r="M712" s="4"/>
      <c r="U712" s="4"/>
    </row>
    <row r="713" customHeight="1" spans="12:21">
      <c r="L713" s="4"/>
      <c r="M713" s="4"/>
      <c r="U713" s="4"/>
    </row>
    <row r="714" customHeight="1" spans="12:21">
      <c r="L714" s="4"/>
      <c r="M714" s="4"/>
      <c r="U714" s="4"/>
    </row>
    <row r="715" customHeight="1" spans="12:21">
      <c r="L715" s="4"/>
      <c r="M715" s="4"/>
      <c r="U715" s="4"/>
    </row>
    <row r="716" customHeight="1" spans="12:21">
      <c r="L716" s="4"/>
      <c r="M716" s="4"/>
      <c r="U716" s="4"/>
    </row>
    <row r="717" customHeight="1" spans="12:21">
      <c r="L717" s="4"/>
      <c r="M717" s="4"/>
      <c r="U717" s="4"/>
    </row>
    <row r="718" customHeight="1" spans="12:21">
      <c r="L718" s="4"/>
      <c r="M718" s="4"/>
      <c r="U718" s="4"/>
    </row>
    <row r="719" customHeight="1" spans="12:21">
      <c r="L719" s="4"/>
      <c r="M719" s="4"/>
      <c r="U719" s="4"/>
    </row>
    <row r="720" customHeight="1" spans="12:21">
      <c r="L720" s="4"/>
      <c r="M720" s="4"/>
      <c r="U720" s="4"/>
    </row>
    <row r="721" customHeight="1" spans="12:21">
      <c r="L721" s="4"/>
      <c r="M721" s="4"/>
      <c r="U721" s="4"/>
    </row>
    <row r="722" customHeight="1" spans="12:21">
      <c r="L722" s="4"/>
      <c r="M722" s="4"/>
      <c r="U722" s="4"/>
    </row>
    <row r="723" customHeight="1" spans="12:21">
      <c r="L723" s="4"/>
      <c r="M723" s="4"/>
      <c r="U723" s="4"/>
    </row>
    <row r="724" customHeight="1" spans="12:21">
      <c r="L724" s="4"/>
      <c r="M724" s="4"/>
      <c r="U724" s="4"/>
    </row>
    <row r="725" customHeight="1" spans="12:21">
      <c r="L725" s="4"/>
      <c r="M725" s="4"/>
      <c r="U725" s="4"/>
    </row>
    <row r="726" customHeight="1" spans="12:21">
      <c r="L726" s="4"/>
      <c r="M726" s="4"/>
      <c r="U726" s="4"/>
    </row>
    <row r="727" customHeight="1" spans="12:21">
      <c r="L727" s="4"/>
      <c r="M727" s="4"/>
      <c r="U727" s="4"/>
    </row>
    <row r="728" customHeight="1" spans="12:21">
      <c r="L728" s="4"/>
      <c r="M728" s="4"/>
      <c r="U728" s="4"/>
    </row>
    <row r="729" customHeight="1" spans="12:21">
      <c r="L729" s="4"/>
      <c r="M729" s="4"/>
      <c r="U729" s="4"/>
    </row>
    <row r="730" customHeight="1" spans="12:21">
      <c r="L730" s="4"/>
      <c r="M730" s="4"/>
      <c r="U730" s="4"/>
    </row>
    <row r="731" customHeight="1" spans="12:21">
      <c r="L731" s="4"/>
      <c r="M731" s="4"/>
      <c r="U731" s="4"/>
    </row>
    <row r="732" customHeight="1" spans="12:21">
      <c r="L732" s="4"/>
      <c r="M732" s="4"/>
      <c r="U732" s="4"/>
    </row>
    <row r="733" customHeight="1" spans="12:21">
      <c r="L733" s="4"/>
      <c r="M733" s="4"/>
      <c r="U733" s="4"/>
    </row>
    <row r="734" customHeight="1" spans="12:21">
      <c r="L734" s="4"/>
      <c r="M734" s="4"/>
      <c r="U734" s="4"/>
    </row>
    <row r="735" customHeight="1" spans="12:21">
      <c r="L735" s="4"/>
      <c r="M735" s="4"/>
      <c r="U735" s="4"/>
    </row>
    <row r="736" customHeight="1" spans="12:21">
      <c r="L736" s="4"/>
      <c r="M736" s="4"/>
      <c r="U736" s="4"/>
    </row>
    <row r="737" customHeight="1" spans="12:21">
      <c r="L737" s="4"/>
      <c r="M737" s="4"/>
      <c r="U737" s="4"/>
    </row>
    <row r="738" customHeight="1" spans="12:21">
      <c r="L738" s="4"/>
      <c r="M738" s="4"/>
      <c r="U738" s="4"/>
    </row>
    <row r="739" customHeight="1" spans="12:21">
      <c r="L739" s="4"/>
      <c r="M739" s="4"/>
      <c r="U739" s="4"/>
    </row>
    <row r="740" customHeight="1" spans="12:21">
      <c r="L740" s="4"/>
      <c r="M740" s="4"/>
      <c r="U740" s="4"/>
    </row>
    <row r="741" customHeight="1" spans="12:21">
      <c r="L741" s="4"/>
      <c r="M741" s="4"/>
      <c r="U741" s="4"/>
    </row>
    <row r="742" customHeight="1" spans="12:21">
      <c r="L742" s="4"/>
      <c r="M742" s="4"/>
      <c r="U742" s="4"/>
    </row>
    <row r="743" customHeight="1" spans="12:21">
      <c r="L743" s="4"/>
      <c r="M743" s="4"/>
      <c r="U743" s="4"/>
    </row>
    <row r="744" customHeight="1" spans="12:21">
      <c r="L744" s="4"/>
      <c r="M744" s="4"/>
      <c r="U744" s="4"/>
    </row>
    <row r="745" customHeight="1" spans="12:21">
      <c r="L745" s="4"/>
      <c r="M745" s="4"/>
      <c r="U745" s="4"/>
    </row>
    <row r="746" customHeight="1" spans="12:21">
      <c r="L746" s="4"/>
      <c r="M746" s="4"/>
      <c r="U746" s="4"/>
    </row>
    <row r="747" customHeight="1" spans="12:21">
      <c r="L747" s="4"/>
      <c r="M747" s="4"/>
      <c r="U747" s="4"/>
    </row>
    <row r="748" customHeight="1" spans="12:21">
      <c r="L748" s="4"/>
      <c r="M748" s="4"/>
      <c r="U748" s="4"/>
    </row>
    <row r="749" customHeight="1" spans="12:21">
      <c r="L749" s="4"/>
      <c r="M749" s="4"/>
      <c r="U749" s="4"/>
    </row>
    <row r="750" customHeight="1" spans="12:21">
      <c r="L750" s="4"/>
      <c r="M750" s="4"/>
      <c r="U750" s="4"/>
    </row>
    <row r="751" customHeight="1" spans="12:21">
      <c r="L751" s="4"/>
      <c r="M751" s="4"/>
      <c r="U751" s="4"/>
    </row>
    <row r="752" customHeight="1" spans="12:21">
      <c r="L752" s="4"/>
      <c r="M752" s="4"/>
      <c r="U752" s="4"/>
    </row>
    <row r="753" customHeight="1" spans="12:21">
      <c r="L753" s="4"/>
      <c r="M753" s="4"/>
      <c r="U753" s="4"/>
    </row>
    <row r="754" customHeight="1" spans="12:21">
      <c r="L754" s="4"/>
      <c r="M754" s="4"/>
      <c r="U754" s="4"/>
    </row>
    <row r="755" customHeight="1" spans="12:21">
      <c r="L755" s="4"/>
      <c r="M755" s="4"/>
      <c r="U755" s="4"/>
    </row>
    <row r="756" customHeight="1" spans="12:21">
      <c r="L756" s="4"/>
      <c r="M756" s="4"/>
      <c r="U756" s="4"/>
    </row>
    <row r="757" customHeight="1" spans="12:21">
      <c r="L757" s="4"/>
      <c r="M757" s="4"/>
      <c r="U757" s="4"/>
    </row>
    <row r="758" customHeight="1" spans="12:21">
      <c r="L758" s="4"/>
      <c r="M758" s="4"/>
      <c r="U758" s="4"/>
    </row>
    <row r="759" customHeight="1" spans="12:21">
      <c r="L759" s="4"/>
      <c r="M759" s="4"/>
      <c r="U759" s="4"/>
    </row>
    <row r="760" customHeight="1" spans="12:21">
      <c r="L760" s="4"/>
      <c r="M760" s="4"/>
      <c r="U760" s="4"/>
    </row>
    <row r="761" customHeight="1" spans="12:21">
      <c r="L761" s="4"/>
      <c r="M761" s="4"/>
      <c r="U761" s="4"/>
    </row>
    <row r="762" customHeight="1" spans="12:21">
      <c r="L762" s="4"/>
      <c r="M762" s="4"/>
      <c r="U762" s="4"/>
    </row>
    <row r="763" customHeight="1" spans="12:21">
      <c r="L763" s="4"/>
      <c r="M763" s="4"/>
      <c r="U763" s="4"/>
    </row>
    <row r="764" customHeight="1" spans="12:21">
      <c r="L764" s="4"/>
      <c r="M764" s="4"/>
      <c r="U764" s="4"/>
    </row>
    <row r="765" customHeight="1" spans="12:21">
      <c r="L765" s="4"/>
      <c r="M765" s="4"/>
      <c r="U765" s="4"/>
    </row>
    <row r="766" customHeight="1" spans="12:21">
      <c r="L766" s="4"/>
      <c r="M766" s="4"/>
      <c r="U766" s="4"/>
    </row>
    <row r="767" customHeight="1" spans="12:21">
      <c r="L767" s="4"/>
      <c r="M767" s="4"/>
      <c r="U767" s="4"/>
    </row>
    <row r="768" customHeight="1" spans="12:21">
      <c r="L768" s="4"/>
      <c r="M768" s="4"/>
      <c r="U768" s="4"/>
    </row>
    <row r="769" customHeight="1" spans="12:21">
      <c r="L769" s="4"/>
      <c r="M769" s="4"/>
      <c r="U769" s="4"/>
    </row>
    <row r="770" customHeight="1" spans="12:21">
      <c r="L770" s="4"/>
      <c r="M770" s="4"/>
      <c r="U770" s="4"/>
    </row>
    <row r="771" customHeight="1" spans="12:21">
      <c r="L771" s="4"/>
      <c r="M771" s="4"/>
      <c r="U771" s="4"/>
    </row>
    <row r="772" customHeight="1" spans="12:21">
      <c r="L772" s="4"/>
      <c r="M772" s="4"/>
      <c r="U772" s="4"/>
    </row>
    <row r="773" customHeight="1" spans="12:21">
      <c r="L773" s="4"/>
      <c r="M773" s="4"/>
      <c r="U773" s="4"/>
    </row>
    <row r="774" customHeight="1" spans="12:21">
      <c r="L774" s="4"/>
      <c r="M774" s="4"/>
      <c r="U774" s="4"/>
    </row>
    <row r="775" customHeight="1" spans="12:21">
      <c r="L775" s="4"/>
      <c r="M775" s="4"/>
      <c r="U775" s="4"/>
    </row>
    <row r="776" customHeight="1" spans="12:21">
      <c r="L776" s="4"/>
      <c r="M776" s="4"/>
      <c r="U776" s="4"/>
    </row>
    <row r="777" customHeight="1" spans="12:21">
      <c r="L777" s="4"/>
      <c r="M777" s="4"/>
      <c r="U777" s="4"/>
    </row>
    <row r="778" customHeight="1" spans="12:21">
      <c r="L778" s="4"/>
      <c r="M778" s="4"/>
      <c r="U778" s="4"/>
    </row>
    <row r="779" customHeight="1" spans="12:21">
      <c r="L779" s="4"/>
      <c r="M779" s="4"/>
      <c r="U779" s="4"/>
    </row>
    <row r="780" customHeight="1" spans="12:21">
      <c r="L780" s="4"/>
      <c r="M780" s="4"/>
      <c r="U780" s="4"/>
    </row>
    <row r="781" customHeight="1" spans="12:21">
      <c r="L781" s="4"/>
      <c r="M781" s="4"/>
      <c r="U781" s="4"/>
    </row>
    <row r="782" customHeight="1" spans="12:21">
      <c r="L782" s="4"/>
      <c r="M782" s="4"/>
      <c r="U782" s="4"/>
    </row>
    <row r="783" customHeight="1" spans="12:21">
      <c r="L783" s="4"/>
      <c r="M783" s="4"/>
      <c r="U783" s="4"/>
    </row>
    <row r="784" customHeight="1" spans="12:21">
      <c r="L784" s="4"/>
      <c r="M784" s="4"/>
      <c r="U784" s="4"/>
    </row>
    <row r="785" customHeight="1" spans="12:21">
      <c r="L785" s="4"/>
      <c r="M785" s="4"/>
      <c r="U785" s="4"/>
    </row>
    <row r="786" customHeight="1" spans="12:21">
      <c r="L786" s="4"/>
      <c r="M786" s="4"/>
      <c r="U786" s="4"/>
    </row>
    <row r="787" customHeight="1" spans="12:21">
      <c r="L787" s="4"/>
      <c r="M787" s="4"/>
      <c r="U787" s="4"/>
    </row>
    <row r="788" customHeight="1" spans="12:21">
      <c r="L788" s="4"/>
      <c r="M788" s="4"/>
      <c r="U788" s="4"/>
    </row>
    <row r="789" customHeight="1" spans="12:21">
      <c r="L789" s="4"/>
      <c r="M789" s="4"/>
      <c r="U789" s="4"/>
    </row>
    <row r="790" customHeight="1" spans="12:21">
      <c r="L790" s="4"/>
      <c r="M790" s="4"/>
      <c r="U790" s="4"/>
    </row>
    <row r="791" customHeight="1" spans="12:21">
      <c r="L791" s="4"/>
      <c r="M791" s="4"/>
      <c r="U791" s="4"/>
    </row>
    <row r="792" customHeight="1" spans="12:21">
      <c r="L792" s="4"/>
      <c r="M792" s="4"/>
      <c r="U792" s="4"/>
    </row>
    <row r="793" customHeight="1" spans="12:21">
      <c r="L793" s="4"/>
      <c r="M793" s="4"/>
      <c r="U793" s="4"/>
    </row>
    <row r="794" customHeight="1" spans="12:21">
      <c r="L794" s="4"/>
      <c r="M794" s="4"/>
      <c r="U794" s="4"/>
    </row>
    <row r="795" customHeight="1" spans="12:21">
      <c r="L795" s="4"/>
      <c r="M795" s="4"/>
      <c r="U795" s="4"/>
    </row>
    <row r="796" customHeight="1" spans="12:21">
      <c r="L796" s="4"/>
      <c r="M796" s="4"/>
      <c r="U796" s="4"/>
    </row>
    <row r="797" customHeight="1" spans="12:21">
      <c r="L797" s="4"/>
      <c r="M797" s="4"/>
      <c r="U797" s="4"/>
    </row>
    <row r="798" customHeight="1" spans="12:21">
      <c r="L798" s="4"/>
      <c r="M798" s="4"/>
      <c r="U798" s="4"/>
    </row>
    <row r="799" customHeight="1" spans="12:21">
      <c r="L799" s="4"/>
      <c r="M799" s="4"/>
      <c r="U799" s="4"/>
    </row>
    <row r="800" customHeight="1" spans="12:21">
      <c r="L800" s="4"/>
      <c r="M800" s="4"/>
      <c r="U800" s="4"/>
    </row>
    <row r="801" customHeight="1" spans="12:21">
      <c r="L801" s="4"/>
      <c r="M801" s="4"/>
      <c r="U801" s="4"/>
    </row>
    <row r="802" customHeight="1" spans="12:21">
      <c r="L802" s="4"/>
      <c r="M802" s="4"/>
      <c r="U802" s="4"/>
    </row>
    <row r="803" customHeight="1" spans="12:21">
      <c r="L803" s="4"/>
      <c r="M803" s="4"/>
      <c r="U803" s="4"/>
    </row>
    <row r="804" customHeight="1" spans="12:21">
      <c r="L804" s="4"/>
      <c r="M804" s="4"/>
      <c r="U804" s="4"/>
    </row>
    <row r="805" customHeight="1" spans="12:21">
      <c r="L805" s="4"/>
      <c r="M805" s="4"/>
      <c r="U805" s="4"/>
    </row>
    <row r="806" customHeight="1" spans="12:21">
      <c r="L806" s="4"/>
      <c r="M806" s="4"/>
      <c r="U806" s="4"/>
    </row>
    <row r="807" customHeight="1" spans="12:21">
      <c r="L807" s="4"/>
      <c r="M807" s="4"/>
      <c r="U807" s="4"/>
    </row>
    <row r="808" customHeight="1" spans="12:21">
      <c r="L808" s="4"/>
      <c r="M808" s="4"/>
      <c r="U808" s="4"/>
    </row>
    <row r="809" customHeight="1" spans="12:21">
      <c r="L809" s="4"/>
      <c r="M809" s="4"/>
      <c r="U809" s="4"/>
    </row>
    <row r="810" customHeight="1" spans="12:21">
      <c r="L810" s="4"/>
      <c r="M810" s="4"/>
      <c r="U810" s="4"/>
    </row>
    <row r="811" customHeight="1" spans="12:21">
      <c r="L811" s="4"/>
      <c r="M811" s="4"/>
      <c r="U811" s="4"/>
    </row>
    <row r="812" customHeight="1" spans="12:21">
      <c r="L812" s="4"/>
      <c r="M812" s="4"/>
      <c r="U812" s="4"/>
    </row>
    <row r="813" customHeight="1" spans="12:21">
      <c r="L813" s="4"/>
      <c r="M813" s="4"/>
      <c r="U813" s="4"/>
    </row>
    <row r="814" customHeight="1" spans="12:21">
      <c r="L814" s="4"/>
      <c r="M814" s="4"/>
      <c r="U814" s="4"/>
    </row>
    <row r="815" customHeight="1" spans="12:21">
      <c r="L815" s="4"/>
      <c r="M815" s="4"/>
      <c r="U815" s="4"/>
    </row>
    <row r="816" customHeight="1" spans="12:21">
      <c r="L816" s="4"/>
      <c r="M816" s="4"/>
      <c r="U816" s="4"/>
    </row>
    <row r="817" customHeight="1" spans="12:21">
      <c r="L817" s="4"/>
      <c r="M817" s="4"/>
      <c r="U817" s="4"/>
    </row>
    <row r="818" customHeight="1" spans="12:21">
      <c r="L818" s="4"/>
      <c r="M818" s="4"/>
      <c r="U818" s="4"/>
    </row>
    <row r="819" customHeight="1" spans="12:21">
      <c r="L819" s="4"/>
      <c r="M819" s="4"/>
      <c r="U819" s="4"/>
    </row>
    <row r="820" customHeight="1" spans="12:21">
      <c r="L820" s="4"/>
      <c r="M820" s="4"/>
      <c r="U820" s="4"/>
    </row>
    <row r="821" customHeight="1" spans="12:21">
      <c r="L821" s="4"/>
      <c r="M821" s="4"/>
      <c r="U821" s="4"/>
    </row>
    <row r="822" customHeight="1" spans="12:21">
      <c r="L822" s="4"/>
      <c r="M822" s="4"/>
      <c r="U822" s="4"/>
    </row>
    <row r="823" customHeight="1" spans="12:21">
      <c r="L823" s="4"/>
      <c r="M823" s="4"/>
      <c r="U823" s="4"/>
    </row>
    <row r="824" customHeight="1" spans="12:21">
      <c r="L824" s="4"/>
      <c r="M824" s="4"/>
      <c r="U824" s="4"/>
    </row>
    <row r="825" customHeight="1" spans="12:21">
      <c r="L825" s="4"/>
      <c r="M825" s="4"/>
      <c r="U825" s="4"/>
    </row>
    <row r="826" customHeight="1" spans="12:21">
      <c r="L826" s="4"/>
      <c r="M826" s="4"/>
      <c r="U826" s="4"/>
    </row>
    <row r="827" customHeight="1" spans="12:21">
      <c r="L827" s="4"/>
      <c r="M827" s="4"/>
      <c r="U827" s="4"/>
    </row>
    <row r="828" customHeight="1" spans="12:21">
      <c r="L828" s="4"/>
      <c r="M828" s="4"/>
      <c r="U828" s="4"/>
    </row>
    <row r="829" customHeight="1" spans="12:21">
      <c r="L829" s="4"/>
      <c r="M829" s="4"/>
      <c r="U829" s="4"/>
    </row>
    <row r="830" customHeight="1" spans="12:21">
      <c r="L830" s="4"/>
      <c r="M830" s="4"/>
      <c r="U830" s="4"/>
    </row>
    <row r="831" customHeight="1" spans="12:21">
      <c r="L831" s="4"/>
      <c r="M831" s="4"/>
      <c r="U831" s="4"/>
    </row>
    <row r="832" customHeight="1" spans="12:21">
      <c r="L832" s="4"/>
      <c r="M832" s="4"/>
      <c r="U832" s="4"/>
    </row>
    <row r="833" customHeight="1" spans="12:21">
      <c r="L833" s="4"/>
      <c r="M833" s="4"/>
      <c r="U833" s="4"/>
    </row>
    <row r="834" customHeight="1" spans="12:21">
      <c r="L834" s="4"/>
      <c r="M834" s="4"/>
      <c r="U834" s="4"/>
    </row>
    <row r="835" customHeight="1" spans="12:21">
      <c r="L835" s="4"/>
      <c r="M835" s="4"/>
      <c r="U835" s="4"/>
    </row>
    <row r="836" customHeight="1" spans="12:21">
      <c r="L836" s="4"/>
      <c r="M836" s="4"/>
      <c r="U836" s="4"/>
    </row>
    <row r="837" customHeight="1" spans="12:21">
      <c r="L837" s="4"/>
      <c r="M837" s="4"/>
      <c r="U837" s="4"/>
    </row>
    <row r="838" customHeight="1" spans="12:21">
      <c r="L838" s="4"/>
      <c r="M838" s="4"/>
      <c r="U838" s="4"/>
    </row>
    <row r="839" customHeight="1" spans="12:21">
      <c r="L839" s="4"/>
      <c r="M839" s="4"/>
      <c r="U839" s="4"/>
    </row>
    <row r="840" customHeight="1" spans="12:21">
      <c r="L840" s="4"/>
      <c r="M840" s="4"/>
      <c r="U840" s="4"/>
    </row>
    <row r="841" customHeight="1" spans="12:21">
      <c r="L841" s="4"/>
      <c r="M841" s="4"/>
      <c r="U841" s="4"/>
    </row>
    <row r="842" customHeight="1" spans="12:21">
      <c r="L842" s="4"/>
      <c r="M842" s="4"/>
      <c r="U842" s="4"/>
    </row>
    <row r="843" customHeight="1" spans="12:21">
      <c r="L843" s="4"/>
      <c r="M843" s="4"/>
      <c r="U843" s="4"/>
    </row>
    <row r="844" customHeight="1" spans="12:21">
      <c r="L844" s="4"/>
      <c r="M844" s="4"/>
      <c r="U844" s="4"/>
    </row>
    <row r="845" customHeight="1" spans="12:21">
      <c r="L845" s="4"/>
      <c r="M845" s="4"/>
      <c r="U845" s="4"/>
    </row>
    <row r="846" customHeight="1" spans="12:21">
      <c r="L846" s="4"/>
      <c r="M846" s="4"/>
      <c r="U846" s="4"/>
    </row>
    <row r="847" customHeight="1" spans="12:21">
      <c r="L847" s="4"/>
      <c r="M847" s="4"/>
      <c r="U847" s="4"/>
    </row>
    <row r="848" customHeight="1" spans="12:21">
      <c r="L848" s="4"/>
      <c r="M848" s="4"/>
      <c r="U848" s="4"/>
    </row>
    <row r="849" customHeight="1" spans="12:21">
      <c r="L849" s="4"/>
      <c r="M849" s="4"/>
      <c r="U849" s="4"/>
    </row>
    <row r="850" customHeight="1" spans="12:21">
      <c r="L850" s="4"/>
      <c r="M850" s="4"/>
      <c r="U850" s="4"/>
    </row>
    <row r="851" customHeight="1" spans="12:21">
      <c r="L851" s="4"/>
      <c r="M851" s="4"/>
      <c r="U851" s="4"/>
    </row>
    <row r="852" customHeight="1" spans="12:21">
      <c r="L852" s="4"/>
      <c r="M852" s="4"/>
      <c r="U852" s="4"/>
    </row>
    <row r="853" customHeight="1" spans="12:21">
      <c r="L853" s="4"/>
      <c r="M853" s="4"/>
      <c r="U853" s="4"/>
    </row>
    <row r="854" customHeight="1" spans="12:21">
      <c r="L854" s="4"/>
      <c r="M854" s="4"/>
      <c r="U854" s="4"/>
    </row>
    <row r="855" customHeight="1" spans="12:21">
      <c r="L855" s="4"/>
      <c r="M855" s="4"/>
      <c r="U855" s="4"/>
    </row>
    <row r="856" customHeight="1" spans="12:21">
      <c r="L856" s="4"/>
      <c r="M856" s="4"/>
      <c r="U856" s="4"/>
    </row>
    <row r="857" customHeight="1" spans="12:21">
      <c r="L857" s="4"/>
      <c r="M857" s="4"/>
      <c r="U857" s="4"/>
    </row>
    <row r="858" customHeight="1" spans="12:21">
      <c r="L858" s="4"/>
      <c r="M858" s="4"/>
      <c r="U858" s="4"/>
    </row>
    <row r="859" customHeight="1" spans="12:21">
      <c r="L859" s="4"/>
      <c r="M859" s="4"/>
      <c r="U859" s="4"/>
    </row>
    <row r="860" customHeight="1" spans="12:21">
      <c r="L860" s="4"/>
      <c r="M860" s="4"/>
      <c r="U860" s="4"/>
    </row>
    <row r="861" customHeight="1" spans="12:21">
      <c r="L861" s="4"/>
      <c r="M861" s="4"/>
      <c r="U861" s="4"/>
    </row>
    <row r="862" customHeight="1" spans="12:21">
      <c r="L862" s="4"/>
      <c r="M862" s="4"/>
      <c r="U862" s="4"/>
    </row>
    <row r="863" customHeight="1" spans="12:21">
      <c r="L863" s="4"/>
      <c r="M863" s="4"/>
      <c r="U863" s="4"/>
    </row>
    <row r="864" customHeight="1" spans="12:21">
      <c r="L864" s="4"/>
      <c r="M864" s="4"/>
      <c r="U864" s="4"/>
    </row>
    <row r="865" customHeight="1" spans="12:21">
      <c r="L865" s="4"/>
      <c r="M865" s="4"/>
      <c r="U865" s="4"/>
    </row>
    <row r="866" customHeight="1" spans="12:21">
      <c r="L866" s="4"/>
      <c r="M866" s="4"/>
      <c r="U866" s="4"/>
    </row>
    <row r="867" customHeight="1" spans="12:21">
      <c r="L867" s="4"/>
      <c r="M867" s="4"/>
      <c r="U867" s="4"/>
    </row>
    <row r="868" customHeight="1" spans="12:21">
      <c r="L868" s="4"/>
      <c r="M868" s="4"/>
      <c r="U868" s="4"/>
    </row>
    <row r="869" customHeight="1" spans="12:21">
      <c r="L869" s="4"/>
      <c r="M869" s="4"/>
      <c r="U869" s="4"/>
    </row>
    <row r="870" customHeight="1" spans="12:21">
      <c r="L870" s="4"/>
      <c r="M870" s="4"/>
      <c r="U870" s="4"/>
    </row>
    <row r="871" customHeight="1" spans="12:21">
      <c r="L871" s="4"/>
      <c r="M871" s="4"/>
      <c r="U871" s="4"/>
    </row>
    <row r="872" customHeight="1" spans="12:21">
      <c r="L872" s="4"/>
      <c r="M872" s="4"/>
      <c r="U872" s="4"/>
    </row>
    <row r="873" customHeight="1" spans="12:21">
      <c r="L873" s="4"/>
      <c r="M873" s="4"/>
      <c r="U873" s="4"/>
    </row>
    <row r="874" customHeight="1" spans="12:21">
      <c r="L874" s="4"/>
      <c r="M874" s="4"/>
      <c r="U874" s="4"/>
    </row>
    <row r="875" customHeight="1" spans="12:21">
      <c r="L875" s="4"/>
      <c r="M875" s="4"/>
      <c r="U875" s="4"/>
    </row>
    <row r="876" customHeight="1" spans="12:21">
      <c r="L876" s="4"/>
      <c r="M876" s="4"/>
      <c r="U876" s="4"/>
    </row>
    <row r="877" customHeight="1" spans="12:21">
      <c r="L877" s="4"/>
      <c r="M877" s="4"/>
      <c r="U877" s="4"/>
    </row>
    <row r="878" customHeight="1" spans="12:21">
      <c r="L878" s="4"/>
      <c r="M878" s="4"/>
      <c r="U878" s="4"/>
    </row>
    <row r="879" customHeight="1" spans="12:21">
      <c r="L879" s="4"/>
      <c r="M879" s="4"/>
      <c r="U879" s="4"/>
    </row>
    <row r="880" customHeight="1" spans="12:21">
      <c r="L880" s="4"/>
      <c r="M880" s="4"/>
      <c r="U880" s="4"/>
    </row>
    <row r="881" customHeight="1" spans="12:21">
      <c r="L881" s="4"/>
      <c r="M881" s="4"/>
      <c r="U881" s="4"/>
    </row>
    <row r="882" customHeight="1" spans="12:21">
      <c r="L882" s="4"/>
      <c r="M882" s="4"/>
      <c r="U882" s="4"/>
    </row>
    <row r="883" customHeight="1" spans="12:21">
      <c r="L883" s="4"/>
      <c r="M883" s="4"/>
      <c r="U883" s="4"/>
    </row>
    <row r="884" customHeight="1" spans="12:21">
      <c r="L884" s="4"/>
      <c r="M884" s="4"/>
      <c r="U884" s="4"/>
    </row>
    <row r="885" customHeight="1" spans="12:21">
      <c r="L885" s="4"/>
      <c r="M885" s="4"/>
      <c r="U885" s="4"/>
    </row>
    <row r="886" customHeight="1" spans="12:21">
      <c r="L886" s="4"/>
      <c r="M886" s="4"/>
      <c r="U886" s="4"/>
    </row>
    <row r="887" customHeight="1" spans="12:21">
      <c r="L887" s="4"/>
      <c r="M887" s="4"/>
      <c r="U887" s="4"/>
    </row>
    <row r="888" customHeight="1" spans="12:21">
      <c r="L888" s="4"/>
      <c r="M888" s="4"/>
      <c r="U888" s="4"/>
    </row>
    <row r="889" customHeight="1" spans="12:21">
      <c r="L889" s="4"/>
      <c r="M889" s="4"/>
      <c r="U889" s="4"/>
    </row>
    <row r="890" customHeight="1" spans="12:21">
      <c r="L890" s="4"/>
      <c r="M890" s="4"/>
      <c r="U890" s="4"/>
    </row>
    <row r="891" customHeight="1" spans="12:21">
      <c r="L891" s="4"/>
      <c r="M891" s="4"/>
      <c r="U891" s="4"/>
    </row>
    <row r="892" customHeight="1" spans="12:21">
      <c r="L892" s="4"/>
      <c r="M892" s="4"/>
      <c r="U892" s="4"/>
    </row>
    <row r="893" customHeight="1" spans="12:21">
      <c r="L893" s="4"/>
      <c r="M893" s="4"/>
      <c r="U893" s="4"/>
    </row>
    <row r="894" customHeight="1" spans="12:21">
      <c r="L894" s="4"/>
      <c r="M894" s="4"/>
      <c r="U894" s="4"/>
    </row>
    <row r="895" customHeight="1" spans="12:21">
      <c r="L895" s="4"/>
      <c r="M895" s="4"/>
      <c r="U895" s="4"/>
    </row>
    <row r="896" customHeight="1" spans="12:21">
      <c r="L896" s="4"/>
      <c r="M896" s="4"/>
      <c r="U896" s="4"/>
    </row>
    <row r="897" customHeight="1" spans="12:21">
      <c r="L897" s="4"/>
      <c r="M897" s="4"/>
      <c r="U897" s="4"/>
    </row>
    <row r="898" customHeight="1" spans="12:21">
      <c r="L898" s="4"/>
      <c r="M898" s="4"/>
      <c r="U898" s="4"/>
    </row>
    <row r="899" customHeight="1" spans="12:21">
      <c r="L899" s="4"/>
      <c r="M899" s="4"/>
      <c r="U899" s="4"/>
    </row>
    <row r="900" customHeight="1" spans="12:21">
      <c r="L900" s="4"/>
      <c r="M900" s="4"/>
      <c r="U900" s="4"/>
    </row>
    <row r="901" customHeight="1" spans="12:21">
      <c r="L901" s="4"/>
      <c r="M901" s="4"/>
      <c r="U901" s="4"/>
    </row>
    <row r="902" customHeight="1" spans="12:21">
      <c r="L902" s="4"/>
      <c r="M902" s="4"/>
      <c r="U902" s="4"/>
    </row>
    <row r="903" customHeight="1" spans="12:21">
      <c r="L903" s="4"/>
      <c r="M903" s="4"/>
      <c r="U903" s="4"/>
    </row>
    <row r="904" customHeight="1" spans="12:21">
      <c r="L904" s="4"/>
      <c r="M904" s="4"/>
      <c r="U904" s="4"/>
    </row>
    <row r="905" customHeight="1" spans="12:21">
      <c r="L905" s="4"/>
      <c r="M905" s="4"/>
      <c r="U905" s="4"/>
    </row>
    <row r="906" customHeight="1" spans="12:21">
      <c r="L906" s="4"/>
      <c r="M906" s="4"/>
      <c r="U906" s="4"/>
    </row>
    <row r="907" customHeight="1" spans="12:21">
      <c r="L907" s="4"/>
      <c r="M907" s="4"/>
      <c r="U907" s="4"/>
    </row>
    <row r="908" customHeight="1" spans="12:21">
      <c r="L908" s="4"/>
      <c r="M908" s="4"/>
      <c r="U908" s="4"/>
    </row>
    <row r="909" customHeight="1" spans="12:21">
      <c r="L909" s="4"/>
      <c r="M909" s="4"/>
      <c r="U909" s="4"/>
    </row>
    <row r="910" customHeight="1" spans="12:21">
      <c r="L910" s="4"/>
      <c r="M910" s="4"/>
      <c r="U910" s="4"/>
    </row>
    <row r="911" customHeight="1" spans="12:21">
      <c r="L911" s="4"/>
      <c r="M911" s="4"/>
      <c r="U911" s="4"/>
    </row>
    <row r="912" customHeight="1" spans="12:21">
      <c r="L912" s="4"/>
      <c r="M912" s="4"/>
      <c r="U912" s="4"/>
    </row>
    <row r="913" customHeight="1" spans="12:21">
      <c r="L913" s="4"/>
      <c r="M913" s="4"/>
      <c r="U913" s="4"/>
    </row>
    <row r="914" customHeight="1" spans="12:21">
      <c r="L914" s="4"/>
      <c r="M914" s="4"/>
      <c r="U914" s="4"/>
    </row>
    <row r="915" customHeight="1" spans="12:21">
      <c r="L915" s="4"/>
      <c r="M915" s="4"/>
      <c r="U915" s="4"/>
    </row>
    <row r="916" customHeight="1" spans="12:21">
      <c r="L916" s="4"/>
      <c r="M916" s="4"/>
      <c r="U916" s="4"/>
    </row>
    <row r="917" customHeight="1" spans="12:21">
      <c r="L917" s="4"/>
      <c r="M917" s="4"/>
      <c r="U917" s="4"/>
    </row>
    <row r="918" customHeight="1" spans="12:21">
      <c r="L918" s="4"/>
      <c r="M918" s="4"/>
      <c r="U918" s="4"/>
    </row>
    <row r="919" customHeight="1" spans="12:21">
      <c r="L919" s="4"/>
      <c r="M919" s="4"/>
      <c r="U919" s="4"/>
    </row>
    <row r="920" customHeight="1" spans="12:21">
      <c r="L920" s="4"/>
      <c r="M920" s="4"/>
      <c r="U920" s="4"/>
    </row>
    <row r="921" customHeight="1" spans="12:21">
      <c r="L921" s="4"/>
      <c r="M921" s="4"/>
      <c r="U921" s="4"/>
    </row>
    <row r="922" customHeight="1" spans="12:21">
      <c r="L922" s="4"/>
      <c r="M922" s="4"/>
      <c r="U922" s="4"/>
    </row>
    <row r="923" customHeight="1" spans="12:21">
      <c r="L923" s="4"/>
      <c r="M923" s="4"/>
      <c r="U923" s="4"/>
    </row>
    <row r="924" customHeight="1" spans="12:21">
      <c r="L924" s="4"/>
      <c r="M924" s="4"/>
      <c r="U924" s="4"/>
    </row>
    <row r="925" customHeight="1" spans="12:21">
      <c r="L925" s="4"/>
      <c r="M925" s="4"/>
      <c r="U925" s="4"/>
    </row>
    <row r="926" customHeight="1" spans="12:21">
      <c r="L926" s="4"/>
      <c r="M926" s="4"/>
      <c r="U926" s="4"/>
    </row>
    <row r="927" customHeight="1" spans="12:21">
      <c r="L927" s="4"/>
      <c r="M927" s="4"/>
      <c r="U927" s="4"/>
    </row>
    <row r="928" customHeight="1" spans="12:21">
      <c r="L928" s="4"/>
      <c r="M928" s="4"/>
      <c r="U928" s="4"/>
    </row>
    <row r="929" customHeight="1" spans="12:21">
      <c r="L929" s="4"/>
      <c r="M929" s="4"/>
      <c r="U929" s="4"/>
    </row>
    <row r="930" customHeight="1" spans="12:21">
      <c r="L930" s="4"/>
      <c r="M930" s="4"/>
      <c r="U930" s="4"/>
    </row>
    <row r="931" customHeight="1" spans="12:21">
      <c r="L931" s="4"/>
      <c r="M931" s="4"/>
      <c r="U931" s="4"/>
    </row>
    <row r="932" customHeight="1" spans="12:21">
      <c r="L932" s="4"/>
      <c r="M932" s="4"/>
      <c r="U932" s="4"/>
    </row>
    <row r="933" customHeight="1" spans="12:21">
      <c r="L933" s="4"/>
      <c r="M933" s="4"/>
      <c r="U933" s="4"/>
    </row>
    <row r="934" customHeight="1" spans="12:21">
      <c r="L934" s="4"/>
      <c r="M934" s="4"/>
      <c r="U934" s="4"/>
    </row>
    <row r="935" customHeight="1" spans="12:21">
      <c r="L935" s="4"/>
      <c r="M935" s="4"/>
      <c r="U935" s="4"/>
    </row>
    <row r="936" customHeight="1" spans="12:21">
      <c r="L936" s="4"/>
      <c r="M936" s="4"/>
      <c r="U936" s="4"/>
    </row>
    <row r="937" customHeight="1" spans="12:21">
      <c r="L937" s="4"/>
      <c r="M937" s="4"/>
      <c r="U937" s="4"/>
    </row>
    <row r="938" customHeight="1" spans="12:21">
      <c r="L938" s="4"/>
      <c r="M938" s="4"/>
      <c r="U938" s="4"/>
    </row>
    <row r="939" customHeight="1" spans="12:21">
      <c r="L939" s="4"/>
      <c r="M939" s="4"/>
      <c r="U939" s="4"/>
    </row>
    <row r="940" customHeight="1" spans="12:21">
      <c r="L940" s="4"/>
      <c r="M940" s="4"/>
      <c r="U940" s="4"/>
    </row>
    <row r="941" customHeight="1" spans="12:21">
      <c r="L941" s="4"/>
      <c r="M941" s="4"/>
      <c r="U941" s="4"/>
    </row>
    <row r="942" customHeight="1" spans="12:21">
      <c r="L942" s="4"/>
      <c r="M942" s="4"/>
      <c r="U942" s="4"/>
    </row>
    <row r="943" customHeight="1" spans="12:21">
      <c r="L943" s="4"/>
      <c r="M943" s="4"/>
      <c r="U943" s="4"/>
    </row>
    <row r="944" customHeight="1" spans="12:21">
      <c r="L944" s="4"/>
      <c r="M944" s="4"/>
      <c r="U944" s="4"/>
    </row>
    <row r="945" customHeight="1" spans="12:21">
      <c r="L945" s="4"/>
      <c r="M945" s="4"/>
      <c r="U945" s="4"/>
    </row>
    <row r="946" customHeight="1" spans="12:21">
      <c r="L946" s="4"/>
      <c r="M946" s="4"/>
      <c r="U946" s="4"/>
    </row>
    <row r="947" customHeight="1" spans="12:21">
      <c r="L947" s="4"/>
      <c r="M947" s="4"/>
      <c r="U947" s="4"/>
    </row>
    <row r="948" customHeight="1" spans="12:21">
      <c r="L948" s="4"/>
      <c r="M948" s="4"/>
      <c r="U948" s="4"/>
    </row>
    <row r="949" customHeight="1" spans="12:21">
      <c r="L949" s="4"/>
      <c r="M949" s="4"/>
      <c r="U949" s="4"/>
    </row>
    <row r="950" customHeight="1" spans="12:21">
      <c r="L950" s="4"/>
      <c r="M950" s="4"/>
      <c r="U950" s="4"/>
    </row>
    <row r="951" customHeight="1" spans="12:21">
      <c r="L951" s="4"/>
      <c r="M951" s="4"/>
      <c r="U951" s="4"/>
    </row>
    <row r="952" customHeight="1" spans="12:21">
      <c r="L952" s="4"/>
      <c r="M952" s="4"/>
      <c r="U952" s="4"/>
    </row>
    <row r="953" customHeight="1" spans="12:21">
      <c r="L953" s="4"/>
      <c r="M953" s="4"/>
      <c r="U953" s="4"/>
    </row>
    <row r="954" customHeight="1" spans="12:21">
      <c r="L954" s="4"/>
      <c r="M954" s="4"/>
      <c r="U954" s="4"/>
    </row>
    <row r="955" customHeight="1" spans="12:21">
      <c r="L955" s="4"/>
      <c r="M955" s="4"/>
      <c r="U955" s="4"/>
    </row>
    <row r="956" customHeight="1" spans="12:21">
      <c r="L956" s="4"/>
      <c r="M956" s="4"/>
      <c r="U956" s="4"/>
    </row>
    <row r="957" customHeight="1" spans="12:21">
      <c r="L957" s="4"/>
      <c r="M957" s="4"/>
      <c r="U957" s="4"/>
    </row>
    <row r="958" customHeight="1" spans="12:21">
      <c r="L958" s="4"/>
      <c r="M958" s="4"/>
      <c r="U958" s="4"/>
    </row>
    <row r="959" customHeight="1" spans="12:21">
      <c r="L959" s="4"/>
      <c r="M959" s="4"/>
      <c r="U959" s="4"/>
    </row>
    <row r="960" customHeight="1" spans="12:21">
      <c r="L960" s="4"/>
      <c r="M960" s="4"/>
      <c r="U960" s="4"/>
    </row>
    <row r="961" customHeight="1" spans="12:21">
      <c r="L961" s="4"/>
      <c r="M961" s="4"/>
      <c r="U961" s="4"/>
    </row>
    <row r="962" customHeight="1" spans="12:21">
      <c r="L962" s="4"/>
      <c r="M962" s="4"/>
      <c r="U962" s="4"/>
    </row>
    <row r="963" customHeight="1" spans="12:21">
      <c r="L963" s="4"/>
      <c r="M963" s="4"/>
      <c r="U963" s="4"/>
    </row>
    <row r="964" customHeight="1" spans="12:21">
      <c r="L964" s="4"/>
      <c r="M964" s="4"/>
      <c r="U964" s="4"/>
    </row>
    <row r="965" customHeight="1" spans="12:21">
      <c r="L965" s="4"/>
      <c r="M965" s="4"/>
      <c r="U965" s="4"/>
    </row>
    <row r="966" customHeight="1" spans="12:21">
      <c r="L966" s="4"/>
      <c r="M966" s="4"/>
      <c r="U966" s="4"/>
    </row>
    <row r="967" customHeight="1" spans="12:21">
      <c r="L967" s="4"/>
      <c r="M967" s="4"/>
      <c r="U967" s="4"/>
    </row>
    <row r="968" customHeight="1" spans="12:21">
      <c r="L968" s="4"/>
      <c r="M968" s="4"/>
      <c r="U968" s="4"/>
    </row>
    <row r="969" customHeight="1" spans="12:21">
      <c r="L969" s="4"/>
      <c r="M969" s="4"/>
      <c r="U969" s="4"/>
    </row>
    <row r="970" customHeight="1" spans="12:21">
      <c r="L970" s="4"/>
      <c r="M970" s="4"/>
      <c r="U970" s="4"/>
    </row>
    <row r="971" customHeight="1" spans="12:21">
      <c r="L971" s="4"/>
      <c r="M971" s="4"/>
      <c r="U971" s="4"/>
    </row>
    <row r="972" customHeight="1" spans="12:21">
      <c r="L972" s="4"/>
      <c r="M972" s="4"/>
      <c r="U972" s="4"/>
    </row>
    <row r="973" customHeight="1" spans="12:21">
      <c r="L973" s="4"/>
      <c r="M973" s="4"/>
      <c r="U973" s="4"/>
    </row>
    <row r="974" customHeight="1" spans="12:21">
      <c r="L974" s="4"/>
      <c r="M974" s="4"/>
      <c r="U974" s="4"/>
    </row>
    <row r="975" customHeight="1" spans="12:21">
      <c r="L975" s="4"/>
      <c r="M975" s="4"/>
      <c r="U975" s="4"/>
    </row>
    <row r="976" customHeight="1" spans="12:21">
      <c r="L976" s="4"/>
      <c r="M976" s="4"/>
      <c r="U976" s="4"/>
    </row>
    <row r="977" customHeight="1" spans="12:21">
      <c r="L977" s="4"/>
      <c r="M977" s="4"/>
      <c r="U977" s="4"/>
    </row>
    <row r="978" customHeight="1" spans="12:21">
      <c r="L978" s="4"/>
      <c r="M978" s="4"/>
      <c r="U978" s="4"/>
    </row>
    <row r="979" customHeight="1" spans="12:21">
      <c r="L979" s="4"/>
      <c r="M979" s="4"/>
      <c r="U979" s="4"/>
    </row>
    <row r="980" customHeight="1" spans="12:21">
      <c r="L980" s="4"/>
      <c r="M980" s="4"/>
      <c r="U980" s="4"/>
    </row>
    <row r="981" customHeight="1" spans="12:21">
      <c r="L981" s="4"/>
      <c r="M981" s="4"/>
      <c r="U981" s="4"/>
    </row>
    <row r="982" customHeight="1" spans="12:21">
      <c r="L982" s="4"/>
      <c r="M982" s="4"/>
      <c r="U982" s="4"/>
    </row>
    <row r="983" customHeight="1" spans="12:21">
      <c r="L983" s="4"/>
      <c r="M983" s="4"/>
      <c r="U983" s="4"/>
    </row>
    <row r="984" customHeight="1" spans="12:21">
      <c r="L984" s="4"/>
      <c r="M984" s="4"/>
      <c r="U984" s="4"/>
    </row>
    <row r="985" customHeight="1" spans="12:21">
      <c r="L985" s="4"/>
      <c r="M985" s="4"/>
      <c r="U985" s="4"/>
    </row>
    <row r="986" customHeight="1" spans="12:21">
      <c r="L986" s="4"/>
      <c r="M986" s="4"/>
      <c r="U986" s="4"/>
    </row>
    <row r="987" customHeight="1" spans="12:21">
      <c r="L987" s="4"/>
      <c r="M987" s="4"/>
      <c r="U987" s="4"/>
    </row>
    <row r="988" customHeight="1" spans="12:21">
      <c r="L988" s="4"/>
      <c r="M988" s="4"/>
      <c r="U988" s="4"/>
    </row>
    <row r="989" customHeight="1" spans="12:21">
      <c r="L989" s="4"/>
      <c r="M989" s="4"/>
      <c r="U989" s="4"/>
    </row>
    <row r="990" customHeight="1" spans="12:21">
      <c r="L990" s="4"/>
      <c r="M990" s="4"/>
      <c r="U990" s="4"/>
    </row>
    <row r="991" customHeight="1" spans="12:21">
      <c r="L991" s="4"/>
      <c r="M991" s="4"/>
      <c r="U991" s="4"/>
    </row>
    <row r="992" customHeight="1" spans="12:21">
      <c r="L992" s="4"/>
      <c r="M992" s="4"/>
      <c r="U992" s="4"/>
    </row>
    <row r="993" customHeight="1" spans="12:21">
      <c r="L993" s="4"/>
      <c r="M993" s="4"/>
      <c r="U993" s="4"/>
    </row>
    <row r="994" customHeight="1" spans="12:21">
      <c r="L994" s="4"/>
      <c r="M994" s="4"/>
      <c r="U994" s="4"/>
    </row>
    <row r="995" customHeight="1" spans="12:21">
      <c r="L995" s="4"/>
      <c r="M995" s="4"/>
      <c r="U995" s="4"/>
    </row>
    <row r="996" customHeight="1" spans="12:21">
      <c r="L996" s="4"/>
      <c r="M996" s="4"/>
      <c r="U996" s="4"/>
    </row>
    <row r="997" customHeight="1" spans="12:21">
      <c r="L997" s="4"/>
      <c r="M997" s="4"/>
      <c r="U997" s="4"/>
    </row>
    <row r="998" customHeight="1" spans="12:21">
      <c r="L998" s="4"/>
      <c r="M998" s="4"/>
      <c r="U998" s="4"/>
    </row>
    <row r="999" customHeight="1" spans="12:21">
      <c r="L999" s="4"/>
      <c r="M999" s="4"/>
      <c r="U999" s="4"/>
    </row>
    <row r="1000" customHeight="1" spans="12:21">
      <c r="L1000" s="4"/>
      <c r="M1000" s="4"/>
      <c r="U1000" s="4"/>
    </row>
    <row r="1001" customHeight="1" spans="12:21">
      <c r="L1001" s="4"/>
      <c r="M1001" s="4"/>
      <c r="U1001" s="4"/>
    </row>
    <row r="1002" customHeight="1" spans="12:21">
      <c r="L1002" s="4"/>
      <c r="M1002" s="4"/>
      <c r="U1002" s="4"/>
    </row>
    <row r="1003" customHeight="1" spans="12:21">
      <c r="L1003" s="4"/>
      <c r="M1003" s="4"/>
      <c r="U1003" s="4"/>
    </row>
    <row r="1004" customHeight="1" spans="12:21">
      <c r="L1004" s="4"/>
      <c r="M1004" s="4"/>
      <c r="U1004" s="4"/>
    </row>
    <row r="1005" customHeight="1" spans="12:21">
      <c r="L1005" s="4"/>
      <c r="M1005" s="4"/>
      <c r="U1005" s="4"/>
    </row>
    <row r="1006" customHeight="1" spans="12:21">
      <c r="L1006" s="4"/>
      <c r="M1006" s="4"/>
      <c r="U1006" s="4"/>
    </row>
    <row r="1007" customHeight="1" spans="12:21">
      <c r="L1007" s="4"/>
      <c r="M1007" s="4"/>
      <c r="U1007" s="4"/>
    </row>
    <row r="1008" customHeight="1" spans="12:21">
      <c r="L1008" s="4"/>
      <c r="M1008" s="4"/>
      <c r="U1008" s="4"/>
    </row>
    <row r="1009" customHeight="1" spans="12:21">
      <c r="L1009" s="4"/>
      <c r="M1009" s="4"/>
      <c r="U1009" s="4"/>
    </row>
    <row r="1010" customHeight="1" spans="12:21">
      <c r="L1010" s="4"/>
      <c r="M1010" s="4"/>
      <c r="U1010" s="4"/>
    </row>
    <row r="1011" customHeight="1" spans="12:21">
      <c r="L1011" s="4"/>
      <c r="M1011" s="4"/>
      <c r="U1011" s="4"/>
    </row>
    <row r="1012" customHeight="1" spans="12:21">
      <c r="L1012" s="4"/>
      <c r="M1012" s="4"/>
      <c r="U1012" s="4"/>
    </row>
    <row r="1013" customHeight="1" spans="12:21">
      <c r="L1013" s="4"/>
      <c r="M1013" s="4"/>
      <c r="U1013" s="4"/>
    </row>
    <row r="1014" customHeight="1" spans="12:21">
      <c r="L1014" s="4"/>
      <c r="M1014" s="4"/>
      <c r="U1014" s="4"/>
    </row>
    <row r="1015" customHeight="1" spans="12:21">
      <c r="L1015" s="4"/>
      <c r="M1015" s="4"/>
      <c r="U1015" s="4"/>
    </row>
    <row r="1016" customHeight="1" spans="12:21">
      <c r="L1016" s="4"/>
      <c r="M1016" s="4"/>
      <c r="U1016" s="4"/>
    </row>
    <row r="1017" customHeight="1" spans="12:21">
      <c r="L1017" s="4"/>
      <c r="M1017" s="4"/>
      <c r="U1017" s="4"/>
    </row>
    <row r="1018" customHeight="1" spans="12:21">
      <c r="L1018" s="4"/>
      <c r="M1018" s="4"/>
      <c r="U1018" s="4"/>
    </row>
    <row r="1019" customHeight="1" spans="12:21">
      <c r="L1019" s="4"/>
      <c r="M1019" s="4"/>
      <c r="U1019" s="4"/>
    </row>
    <row r="1020" customHeight="1" spans="12:21">
      <c r="L1020" s="4"/>
      <c r="M1020" s="4"/>
      <c r="U1020" s="4"/>
    </row>
    <row r="1021" customHeight="1" spans="12:21">
      <c r="L1021" s="4"/>
      <c r="M1021" s="4"/>
      <c r="U1021" s="4"/>
    </row>
    <row r="1022" customHeight="1" spans="12:21">
      <c r="L1022" s="4"/>
      <c r="M1022" s="4"/>
      <c r="U1022" s="4"/>
    </row>
    <row r="1023" customHeight="1" spans="12:21">
      <c r="L1023" s="4"/>
      <c r="M1023" s="4"/>
      <c r="U1023" s="4"/>
    </row>
    <row r="1024" customHeight="1" spans="12:21">
      <c r="L1024" s="4"/>
      <c r="M1024" s="4"/>
      <c r="U1024" s="4"/>
    </row>
    <row r="1025" customHeight="1" spans="12:21">
      <c r="L1025" s="4"/>
      <c r="M1025" s="4"/>
      <c r="U1025" s="4"/>
    </row>
    <row r="1026" customHeight="1" spans="12:21">
      <c r="L1026" s="4"/>
      <c r="M1026" s="4"/>
      <c r="U1026" s="4"/>
    </row>
    <row r="1027" customHeight="1" spans="12:21">
      <c r="L1027" s="4"/>
      <c r="M1027" s="4"/>
      <c r="U1027" s="4"/>
    </row>
    <row r="1028" customHeight="1" spans="12:21">
      <c r="L1028" s="4"/>
      <c r="M1028" s="4"/>
      <c r="U1028" s="4"/>
    </row>
    <row r="1029" customHeight="1" spans="12:21">
      <c r="L1029" s="4"/>
      <c r="M1029" s="4"/>
      <c r="U1029" s="4"/>
    </row>
    <row r="1030" customHeight="1" spans="12:21">
      <c r="L1030" s="4"/>
      <c r="M1030" s="4"/>
      <c r="U1030" s="4"/>
    </row>
    <row r="1031" customHeight="1" spans="12:21">
      <c r="L1031" s="4"/>
      <c r="M1031" s="4"/>
      <c r="U1031" s="4"/>
    </row>
    <row r="1032" customHeight="1" spans="12:21">
      <c r="L1032" s="4"/>
      <c r="M1032" s="4"/>
      <c r="U1032" s="4"/>
    </row>
    <row r="1033" customHeight="1" spans="12:21">
      <c r="L1033" s="4"/>
      <c r="M1033" s="4"/>
      <c r="U1033" s="4"/>
    </row>
    <row r="1034" customHeight="1" spans="12:21">
      <c r="L1034" s="4"/>
      <c r="M1034" s="4"/>
      <c r="U1034" s="4"/>
    </row>
    <row r="1035" customHeight="1" spans="12:21">
      <c r="L1035" s="4"/>
      <c r="M1035" s="4"/>
      <c r="U1035" s="4"/>
    </row>
    <row r="1036" customHeight="1" spans="12:21">
      <c r="L1036" s="4"/>
      <c r="M1036" s="4"/>
      <c r="U1036" s="4"/>
    </row>
    <row r="1037" customHeight="1" spans="12:21">
      <c r="L1037" s="4"/>
      <c r="M1037" s="4"/>
      <c r="U1037" s="4"/>
    </row>
    <row r="1038" customHeight="1" spans="12:21">
      <c r="L1038" s="4"/>
      <c r="M1038" s="4"/>
      <c r="U1038" s="4"/>
    </row>
    <row r="1039" customHeight="1" spans="12:21">
      <c r="L1039" s="4"/>
      <c r="M1039" s="4"/>
      <c r="U1039" s="4"/>
    </row>
    <row r="1040" customHeight="1" spans="12:21">
      <c r="L1040" s="4"/>
      <c r="M1040" s="4"/>
      <c r="U1040" s="4"/>
    </row>
    <row r="1041" customHeight="1" spans="12:21">
      <c r="L1041" s="4"/>
      <c r="M1041" s="4"/>
      <c r="U1041" s="4"/>
    </row>
    <row r="1042" customHeight="1" spans="12:21">
      <c r="L1042" s="4"/>
      <c r="M1042" s="4"/>
      <c r="U1042" s="4"/>
    </row>
    <row r="1043" customHeight="1" spans="12:21">
      <c r="L1043" s="4"/>
      <c r="M1043" s="4"/>
      <c r="U1043" s="4"/>
    </row>
    <row r="1044" customHeight="1" spans="12:21">
      <c r="L1044" s="4"/>
      <c r="M1044" s="4"/>
      <c r="U1044" s="4"/>
    </row>
    <row r="1045" customHeight="1" spans="12:21">
      <c r="L1045" s="4"/>
      <c r="M1045" s="4"/>
      <c r="U1045" s="4"/>
    </row>
    <row r="1046" customHeight="1" spans="12:21">
      <c r="L1046" s="4"/>
      <c r="M1046" s="4"/>
      <c r="U1046" s="4"/>
    </row>
    <row r="1047" customHeight="1" spans="12:21">
      <c r="L1047" s="4"/>
      <c r="M1047" s="4"/>
      <c r="U1047" s="4"/>
    </row>
    <row r="1048" customHeight="1" spans="12:21">
      <c r="L1048" s="4"/>
      <c r="M1048" s="4"/>
      <c r="U1048" s="4"/>
    </row>
    <row r="1049" customHeight="1" spans="12:21">
      <c r="L1049" s="4"/>
      <c r="M1049" s="4"/>
      <c r="U1049" s="4"/>
    </row>
    <row r="1050" customHeight="1" spans="12:21">
      <c r="L1050" s="4"/>
      <c r="M1050" s="4"/>
      <c r="U1050" s="4"/>
    </row>
    <row r="1051" customHeight="1" spans="12:21">
      <c r="L1051" s="4"/>
      <c r="M1051" s="4"/>
      <c r="U1051" s="4"/>
    </row>
    <row r="1052" customHeight="1" spans="12:21">
      <c r="L1052" s="4"/>
      <c r="M1052" s="4"/>
      <c r="U1052" s="4"/>
    </row>
    <row r="1053" customHeight="1" spans="12:21">
      <c r="L1053" s="4"/>
      <c r="M1053" s="4"/>
      <c r="U1053" s="4"/>
    </row>
    <row r="1054" customHeight="1" spans="12:21">
      <c r="L1054" s="4"/>
      <c r="M1054" s="4"/>
      <c r="U1054" s="4"/>
    </row>
    <row r="1055" customHeight="1" spans="12:21">
      <c r="L1055" s="4"/>
      <c r="M1055" s="4"/>
      <c r="U1055" s="4"/>
    </row>
    <row r="1056" customHeight="1" spans="12:21">
      <c r="L1056" s="4"/>
      <c r="M1056" s="4"/>
      <c r="U1056" s="4"/>
    </row>
    <row r="1057" customHeight="1" spans="12:21">
      <c r="L1057" s="4"/>
      <c r="M1057" s="4"/>
      <c r="U1057" s="4"/>
    </row>
    <row r="1058" customHeight="1" spans="12:21">
      <c r="L1058" s="4"/>
      <c r="M1058" s="4"/>
      <c r="U1058" s="4"/>
    </row>
    <row r="1059" customHeight="1" spans="12:21">
      <c r="L1059" s="4"/>
      <c r="M1059" s="4"/>
      <c r="U1059" s="4"/>
    </row>
    <row r="1060" customHeight="1" spans="12:21">
      <c r="L1060" s="4"/>
      <c r="M1060" s="4"/>
      <c r="U1060" s="4"/>
    </row>
    <row r="1061" customHeight="1" spans="12:21">
      <c r="L1061" s="4"/>
      <c r="M1061" s="4"/>
      <c r="U1061" s="4"/>
    </row>
    <row r="1062" customHeight="1" spans="12:21">
      <c r="L1062" s="4"/>
      <c r="M1062" s="4"/>
      <c r="U1062" s="4"/>
    </row>
    <row r="1063" customHeight="1" spans="12:21">
      <c r="L1063" s="4"/>
      <c r="M1063" s="4"/>
      <c r="U1063" s="4"/>
    </row>
    <row r="1064" customHeight="1" spans="12:21">
      <c r="L1064" s="4"/>
      <c r="M1064" s="4"/>
      <c r="U1064" s="4"/>
    </row>
    <row r="1065" customHeight="1" spans="12:21">
      <c r="L1065" s="4"/>
      <c r="M1065" s="4"/>
      <c r="U1065" s="4"/>
    </row>
    <row r="1066" customHeight="1" spans="12:21">
      <c r="L1066" s="4"/>
      <c r="M1066" s="4"/>
      <c r="U1066" s="4"/>
    </row>
    <row r="1067" customHeight="1" spans="12:21">
      <c r="L1067" s="4"/>
      <c r="M1067" s="4"/>
      <c r="U1067" s="4"/>
    </row>
    <row r="1068" customHeight="1" spans="12:21">
      <c r="L1068" s="4"/>
      <c r="M1068" s="4"/>
      <c r="U1068" s="4"/>
    </row>
    <row r="1069" customHeight="1" spans="12:21">
      <c r="L1069" s="4"/>
      <c r="M1069" s="4"/>
      <c r="U1069" s="4"/>
    </row>
    <row r="1070" customHeight="1" spans="12:21">
      <c r="L1070" s="4"/>
      <c r="M1070" s="4"/>
      <c r="U1070" s="4"/>
    </row>
    <row r="1071" customHeight="1" spans="12:21">
      <c r="L1071" s="4"/>
      <c r="M1071" s="4"/>
      <c r="U1071" s="4"/>
    </row>
    <row r="1072" customHeight="1" spans="12:21">
      <c r="L1072" s="4"/>
      <c r="M1072" s="4"/>
      <c r="U1072" s="4"/>
    </row>
    <row r="1073" customHeight="1" spans="12:21">
      <c r="L1073" s="4"/>
      <c r="M1073" s="4"/>
      <c r="U1073" s="4"/>
    </row>
    <row r="1074" customHeight="1" spans="12:21">
      <c r="L1074" s="4"/>
      <c r="M1074" s="4"/>
      <c r="U1074" s="4"/>
    </row>
    <row r="1075" customHeight="1" spans="12:21">
      <c r="L1075" s="4"/>
      <c r="M1075" s="4"/>
      <c r="U1075" s="4"/>
    </row>
    <row r="1076" customHeight="1" spans="12:21">
      <c r="L1076" s="4"/>
      <c r="M1076" s="4"/>
      <c r="U1076" s="4"/>
    </row>
    <row r="1077" customHeight="1" spans="12:21">
      <c r="L1077" s="4"/>
      <c r="M1077" s="4"/>
      <c r="U1077" s="4"/>
    </row>
    <row r="1078" customHeight="1" spans="12:21">
      <c r="L1078" s="4"/>
      <c r="M1078" s="4"/>
      <c r="U1078" s="4"/>
    </row>
    <row r="1079" customHeight="1" spans="12:21">
      <c r="L1079" s="4"/>
      <c r="M1079" s="4"/>
      <c r="U1079" s="4"/>
    </row>
    <row r="1080" customHeight="1" spans="12:21">
      <c r="L1080" s="4"/>
      <c r="M1080" s="4"/>
      <c r="U1080" s="4"/>
    </row>
    <row r="1081" customHeight="1" spans="12:21">
      <c r="L1081" s="4"/>
      <c r="M1081" s="4"/>
      <c r="U1081" s="4"/>
    </row>
    <row r="1082" customHeight="1" spans="12:21">
      <c r="L1082" s="4"/>
      <c r="M1082" s="4"/>
      <c r="U1082" s="4"/>
    </row>
    <row r="1083" customHeight="1" spans="12:21">
      <c r="L1083" s="4"/>
      <c r="M1083" s="4"/>
      <c r="U1083" s="4"/>
    </row>
    <row r="1084" customHeight="1" spans="12:21">
      <c r="L1084" s="4"/>
      <c r="M1084" s="4"/>
      <c r="U1084" s="4"/>
    </row>
    <row r="1085" customHeight="1" spans="12:21">
      <c r="L1085" s="4"/>
      <c r="M1085" s="4"/>
      <c r="U1085" s="4"/>
    </row>
    <row r="1086" customHeight="1" spans="12:21">
      <c r="L1086" s="4"/>
      <c r="M1086" s="4"/>
      <c r="U1086" s="4"/>
    </row>
    <row r="1087" customHeight="1" spans="12:21">
      <c r="L1087" s="4"/>
      <c r="M1087" s="4"/>
      <c r="U1087" s="4"/>
    </row>
    <row r="1088" customHeight="1" spans="12:21">
      <c r="L1088" s="4"/>
      <c r="M1088" s="4"/>
      <c r="U1088" s="4"/>
    </row>
    <row r="1089" customHeight="1" spans="12:21">
      <c r="L1089" s="4"/>
      <c r="M1089" s="4"/>
      <c r="U1089" s="4"/>
    </row>
    <row r="1090" customHeight="1" spans="12:21">
      <c r="L1090" s="4"/>
      <c r="M1090" s="4"/>
      <c r="U1090" s="4"/>
    </row>
    <row r="1091" customHeight="1" spans="12:21">
      <c r="L1091" s="4"/>
      <c r="M1091" s="4"/>
      <c r="U1091" s="4"/>
    </row>
    <row r="1092" customHeight="1" spans="12:21">
      <c r="L1092" s="4"/>
      <c r="M1092" s="4"/>
      <c r="U1092" s="4"/>
    </row>
    <row r="1093" customHeight="1" spans="12:21">
      <c r="L1093" s="4"/>
      <c r="M1093" s="4"/>
      <c r="U1093" s="4"/>
    </row>
    <row r="1094" customHeight="1" spans="12:21">
      <c r="L1094" s="4"/>
      <c r="M1094" s="4"/>
      <c r="U1094" s="4"/>
    </row>
    <row r="1095" customHeight="1" spans="12:21">
      <c r="L1095" s="4"/>
      <c r="M1095" s="4"/>
      <c r="U1095" s="4"/>
    </row>
    <row r="1096" customHeight="1" spans="12:21">
      <c r="L1096" s="4"/>
      <c r="M1096" s="4"/>
      <c r="U1096" s="4"/>
    </row>
    <row r="1097" customHeight="1" spans="12:21">
      <c r="L1097" s="4"/>
      <c r="M1097" s="4"/>
      <c r="U1097" s="4"/>
    </row>
    <row r="1098" customHeight="1" spans="12:21">
      <c r="L1098" s="4"/>
      <c r="M1098" s="4"/>
      <c r="U1098" s="4"/>
    </row>
    <row r="1099" customHeight="1" spans="12:21">
      <c r="L1099" s="4"/>
      <c r="M1099" s="4"/>
      <c r="U1099" s="4"/>
    </row>
    <row r="1100" customHeight="1" spans="12:21">
      <c r="L1100" s="4"/>
      <c r="M1100" s="4"/>
      <c r="U1100" s="4"/>
    </row>
    <row r="1101" customHeight="1" spans="12:21">
      <c r="L1101" s="4"/>
      <c r="M1101" s="4"/>
      <c r="U1101" s="4"/>
    </row>
    <row r="1102" customHeight="1" spans="12:21">
      <c r="L1102" s="4"/>
      <c r="M1102" s="4"/>
      <c r="U1102" s="4"/>
    </row>
    <row r="1103" customHeight="1" spans="12:21">
      <c r="L1103" s="4"/>
      <c r="M1103" s="4"/>
      <c r="U1103" s="4"/>
    </row>
    <row r="1104" customHeight="1" spans="12:21">
      <c r="L1104" s="4"/>
      <c r="M1104" s="4"/>
      <c r="U1104" s="4"/>
    </row>
    <row r="1105" customHeight="1" spans="12:21">
      <c r="L1105" s="4"/>
      <c r="M1105" s="4"/>
      <c r="U1105" s="4"/>
    </row>
    <row r="1106" customHeight="1" spans="12:21">
      <c r="L1106" s="4"/>
      <c r="M1106" s="4"/>
      <c r="U1106" s="4"/>
    </row>
    <row r="1107" customHeight="1" spans="12:21">
      <c r="L1107" s="4"/>
      <c r="M1107" s="4"/>
      <c r="U1107" s="4"/>
    </row>
    <row r="1108" customHeight="1" spans="12:21">
      <c r="L1108" s="4"/>
      <c r="M1108" s="4"/>
      <c r="U1108" s="4"/>
    </row>
    <row r="1109" customHeight="1" spans="12:21">
      <c r="L1109" s="4"/>
      <c r="M1109" s="4"/>
      <c r="U1109" s="4"/>
    </row>
    <row r="1110" customHeight="1" spans="12:21">
      <c r="L1110" s="4"/>
      <c r="M1110" s="4"/>
      <c r="U1110" s="4"/>
    </row>
    <row r="1111" customHeight="1" spans="12:21">
      <c r="L1111" s="4"/>
      <c r="M1111" s="4"/>
      <c r="U1111" s="4"/>
    </row>
    <row r="1112" customHeight="1" spans="12:21">
      <c r="L1112" s="4"/>
      <c r="M1112" s="4"/>
      <c r="U1112" s="4"/>
    </row>
    <row r="1113" customHeight="1" spans="12:21">
      <c r="L1113" s="4"/>
      <c r="M1113" s="4"/>
      <c r="U1113" s="4"/>
    </row>
    <row r="1114" customHeight="1" spans="12:21">
      <c r="L1114" s="4"/>
      <c r="M1114" s="4"/>
      <c r="U1114" s="4"/>
    </row>
    <row r="1115" customHeight="1" spans="12:21">
      <c r="L1115" s="4"/>
      <c r="M1115" s="4"/>
      <c r="U1115" s="4"/>
    </row>
    <row r="1116" customHeight="1" spans="12:21">
      <c r="L1116" s="4"/>
      <c r="M1116" s="4"/>
      <c r="U1116" s="4"/>
    </row>
    <row r="1117" customHeight="1" spans="12:21">
      <c r="L1117" s="4"/>
      <c r="M1117" s="4"/>
      <c r="U1117" s="4"/>
    </row>
    <row r="1118" customHeight="1" spans="12:21">
      <c r="L1118" s="4"/>
      <c r="M1118" s="4"/>
      <c r="U1118" s="4"/>
    </row>
    <row r="1119" customHeight="1" spans="12:21">
      <c r="L1119" s="4"/>
      <c r="M1119" s="4"/>
      <c r="U1119" s="4"/>
    </row>
    <row r="1120" customHeight="1" spans="12:21">
      <c r="L1120" s="4"/>
      <c r="M1120" s="4"/>
      <c r="U1120" s="4"/>
    </row>
    <row r="1121" customHeight="1" spans="12:21">
      <c r="L1121" s="4"/>
      <c r="M1121" s="4"/>
      <c r="U1121" s="4"/>
    </row>
    <row r="1122" customHeight="1" spans="12:21">
      <c r="L1122" s="4"/>
      <c r="M1122" s="4"/>
      <c r="U1122" s="4"/>
    </row>
    <row r="1123" customHeight="1" spans="12:21">
      <c r="L1123" s="4"/>
      <c r="M1123" s="4"/>
      <c r="U1123" s="4"/>
    </row>
    <row r="1124" customHeight="1" spans="12:21">
      <c r="L1124" s="4"/>
      <c r="M1124" s="4"/>
      <c r="U1124" s="4"/>
    </row>
    <row r="1125" customHeight="1" spans="12:21">
      <c r="L1125" s="4"/>
      <c r="M1125" s="4"/>
      <c r="U1125" s="4"/>
    </row>
    <row r="1126" customHeight="1" spans="12:21">
      <c r="L1126" s="4"/>
      <c r="M1126" s="4"/>
      <c r="U1126" s="4"/>
    </row>
    <row r="1127" customHeight="1" spans="12:21">
      <c r="L1127" s="4"/>
      <c r="M1127" s="4"/>
      <c r="U1127" s="4"/>
    </row>
    <row r="1128" customHeight="1" spans="12:21">
      <c r="L1128" s="4"/>
      <c r="M1128" s="4"/>
      <c r="U1128" s="4"/>
    </row>
    <row r="1129" customHeight="1" spans="12:21">
      <c r="L1129" s="4"/>
      <c r="M1129" s="4"/>
      <c r="U1129" s="4"/>
    </row>
    <row r="1130" customHeight="1" spans="12:21">
      <c r="L1130" s="4"/>
      <c r="M1130" s="4"/>
      <c r="U1130" s="4"/>
    </row>
    <row r="1131" customHeight="1" spans="12:21">
      <c r="L1131" s="4"/>
      <c r="M1131" s="4"/>
      <c r="U1131" s="4"/>
    </row>
    <row r="1132" customHeight="1" spans="12:21">
      <c r="L1132" s="4"/>
      <c r="M1132" s="4"/>
      <c r="U1132" s="4"/>
    </row>
    <row r="1133" customHeight="1" spans="12:21">
      <c r="L1133" s="4"/>
      <c r="M1133" s="4"/>
      <c r="U1133" s="4"/>
    </row>
    <row r="1134" customHeight="1" spans="12:21">
      <c r="L1134" s="4"/>
      <c r="M1134" s="4"/>
      <c r="U1134" s="4"/>
    </row>
    <row r="1135" customHeight="1" spans="12:21">
      <c r="L1135" s="4"/>
      <c r="M1135" s="4"/>
      <c r="U1135" s="4"/>
    </row>
    <row r="1136" customHeight="1" spans="12:21">
      <c r="L1136" s="4"/>
      <c r="M1136" s="4"/>
      <c r="U1136" s="4"/>
    </row>
    <row r="1137" customHeight="1" spans="12:21">
      <c r="L1137" s="4"/>
      <c r="M1137" s="4"/>
      <c r="U1137" s="4"/>
    </row>
    <row r="1138" customHeight="1" spans="12:21">
      <c r="L1138" s="4"/>
      <c r="M1138" s="4"/>
      <c r="U1138" s="4"/>
    </row>
    <row r="1139" customHeight="1" spans="12:21">
      <c r="L1139" s="4"/>
      <c r="M1139" s="4"/>
      <c r="U1139" s="4"/>
    </row>
    <row r="1140" customHeight="1" spans="12:21">
      <c r="L1140" s="4"/>
      <c r="M1140" s="4"/>
      <c r="U1140" s="4"/>
    </row>
    <row r="1141" customHeight="1" spans="12:21">
      <c r="L1141" s="4"/>
      <c r="M1141" s="4"/>
      <c r="U1141" s="4"/>
    </row>
    <row r="1142" customHeight="1" spans="12:21">
      <c r="L1142" s="4"/>
      <c r="M1142" s="4"/>
      <c r="U1142" s="4"/>
    </row>
    <row r="1143" customHeight="1" spans="12:21">
      <c r="L1143" s="4"/>
      <c r="M1143" s="4"/>
      <c r="U1143" s="4"/>
    </row>
    <row r="1144" customHeight="1" spans="12:21">
      <c r="L1144" s="4"/>
      <c r="M1144" s="4"/>
      <c r="U1144" s="4"/>
    </row>
    <row r="1145" customHeight="1" spans="12:21">
      <c r="L1145" s="4"/>
      <c r="M1145" s="4"/>
      <c r="U1145" s="4"/>
    </row>
    <row r="1146" customHeight="1" spans="12:21">
      <c r="L1146" s="4"/>
      <c r="M1146" s="4"/>
      <c r="U1146" s="4"/>
    </row>
    <row r="1147" customHeight="1" spans="12:21">
      <c r="L1147" s="4"/>
      <c r="M1147" s="4"/>
      <c r="U1147" s="4"/>
    </row>
    <row r="1148" customHeight="1" spans="12:21">
      <c r="L1148" s="4"/>
      <c r="M1148" s="4"/>
      <c r="U1148" s="4"/>
    </row>
    <row r="1149" customHeight="1" spans="12:21">
      <c r="L1149" s="4"/>
      <c r="M1149" s="4"/>
      <c r="U1149" s="4"/>
    </row>
    <row r="1150" customHeight="1" spans="12:21">
      <c r="L1150" s="4"/>
      <c r="M1150" s="4"/>
      <c r="U1150" s="4"/>
    </row>
    <row r="1151" customHeight="1" spans="12:21">
      <c r="L1151" s="4"/>
      <c r="M1151" s="4"/>
      <c r="U1151" s="4"/>
    </row>
    <row r="1152" customHeight="1" spans="12:21">
      <c r="L1152" s="4"/>
      <c r="M1152" s="4"/>
      <c r="U1152" s="4"/>
    </row>
    <row r="1153" customHeight="1" spans="12:21">
      <c r="L1153" s="4"/>
      <c r="M1153" s="4"/>
      <c r="U1153" s="4"/>
    </row>
    <row r="1154" customHeight="1" spans="12:21">
      <c r="L1154" s="4"/>
      <c r="M1154" s="4"/>
      <c r="U1154" s="4"/>
    </row>
    <row r="1155" customHeight="1" spans="12:21">
      <c r="L1155" s="4"/>
      <c r="M1155" s="4"/>
      <c r="U1155" s="4"/>
    </row>
    <row r="1156" customHeight="1" spans="12:21">
      <c r="L1156" s="4"/>
      <c r="M1156" s="4"/>
      <c r="U1156" s="4"/>
    </row>
    <row r="1157" customHeight="1" spans="12:21">
      <c r="L1157" s="4"/>
      <c r="M1157" s="4"/>
      <c r="U1157" s="4"/>
    </row>
    <row r="1158" customHeight="1" spans="12:21">
      <c r="L1158" s="4"/>
      <c r="M1158" s="4"/>
      <c r="U1158" s="4"/>
    </row>
    <row r="1159" customHeight="1" spans="12:21">
      <c r="L1159" s="4"/>
      <c r="M1159" s="4"/>
      <c r="U1159" s="4"/>
    </row>
    <row r="1160" customHeight="1" spans="12:21">
      <c r="L1160" s="4"/>
      <c r="M1160" s="4"/>
      <c r="U1160" s="4"/>
    </row>
    <row r="1161" customHeight="1" spans="12:21">
      <c r="L1161" s="4"/>
      <c r="M1161" s="4"/>
      <c r="U1161" s="4"/>
    </row>
    <row r="1162" customHeight="1" spans="12:21">
      <c r="L1162" s="4"/>
      <c r="M1162" s="4"/>
      <c r="U1162" s="4"/>
    </row>
    <row r="1163" customHeight="1" spans="12:21">
      <c r="L1163" s="4"/>
      <c r="M1163" s="4"/>
      <c r="U1163" s="4"/>
    </row>
    <row r="1164" customHeight="1" spans="12:21">
      <c r="L1164" s="4"/>
      <c r="M1164" s="4"/>
      <c r="U1164" s="4"/>
    </row>
    <row r="1165" customHeight="1" spans="12:21">
      <c r="L1165" s="4"/>
      <c r="M1165" s="4"/>
      <c r="U1165" s="4"/>
    </row>
    <row r="1166" customHeight="1" spans="12:21">
      <c r="L1166" s="4"/>
      <c r="M1166" s="4"/>
      <c r="U1166" s="4"/>
    </row>
    <row r="1167" customHeight="1" spans="12:21">
      <c r="L1167" s="4"/>
      <c r="M1167" s="4"/>
      <c r="U1167" s="4"/>
    </row>
    <row r="1168" customHeight="1" spans="12:21">
      <c r="L1168" s="4"/>
      <c r="M1168" s="4"/>
      <c r="U1168" s="4"/>
    </row>
    <row r="1169" customHeight="1" spans="12:21">
      <c r="L1169" s="4"/>
      <c r="M1169" s="4"/>
      <c r="U1169" s="4"/>
    </row>
    <row r="1170" customHeight="1" spans="12:21">
      <c r="L1170" s="4"/>
      <c r="M1170" s="4"/>
      <c r="U1170" s="4"/>
    </row>
    <row r="1171" customHeight="1" spans="12:21">
      <c r="L1171" s="4"/>
      <c r="M1171" s="4"/>
      <c r="U1171" s="4"/>
    </row>
    <row r="1172" customHeight="1" spans="12:21">
      <c r="L1172" s="4"/>
      <c r="M1172" s="4"/>
      <c r="U1172" s="4"/>
    </row>
    <row r="1173" customHeight="1" spans="12:21">
      <c r="L1173" s="4"/>
      <c r="M1173" s="4"/>
      <c r="U1173" s="4"/>
    </row>
    <row r="1174" customHeight="1" spans="12:21">
      <c r="L1174" s="4"/>
      <c r="M1174" s="4"/>
      <c r="U1174" s="4"/>
    </row>
    <row r="1175" customHeight="1" spans="12:21">
      <c r="L1175" s="4"/>
      <c r="M1175" s="4"/>
      <c r="U1175" s="4"/>
    </row>
    <row r="1176" customHeight="1" spans="12:21">
      <c r="L1176" s="4"/>
      <c r="M1176" s="4"/>
      <c r="U1176" s="4"/>
    </row>
    <row r="1177" customHeight="1" spans="12:21">
      <c r="L1177" s="4"/>
      <c r="M1177" s="4"/>
      <c r="U1177" s="4"/>
    </row>
    <row r="1178" customHeight="1" spans="12:21">
      <c r="L1178" s="4"/>
      <c r="M1178" s="4"/>
      <c r="U1178" s="4"/>
    </row>
    <row r="1179" customHeight="1" spans="12:21">
      <c r="L1179" s="4"/>
      <c r="M1179" s="4"/>
      <c r="U1179" s="4"/>
    </row>
    <row r="1180" customHeight="1" spans="12:21">
      <c r="L1180" s="4"/>
      <c r="M1180" s="4"/>
      <c r="U1180" s="4"/>
    </row>
    <row r="1181" customHeight="1" spans="12:21">
      <c r="L1181" s="4"/>
      <c r="M1181" s="4"/>
      <c r="U1181" s="4"/>
    </row>
    <row r="1182" customHeight="1" spans="12:21">
      <c r="L1182" s="4"/>
      <c r="M1182" s="4"/>
      <c r="U1182" s="4"/>
    </row>
    <row r="1183" customHeight="1" spans="12:21">
      <c r="L1183" s="4"/>
      <c r="M1183" s="4"/>
      <c r="U1183" s="4"/>
    </row>
    <row r="1184" customHeight="1" spans="12:21">
      <c r="L1184" s="4"/>
      <c r="M1184" s="4"/>
      <c r="U1184" s="4"/>
    </row>
    <row r="1185" customHeight="1" spans="12:21">
      <c r="L1185" s="4"/>
      <c r="M1185" s="4"/>
      <c r="U1185" s="4"/>
    </row>
    <row r="1186" customHeight="1" spans="12:21">
      <c r="L1186" s="4"/>
      <c r="M1186" s="4"/>
      <c r="U1186" s="4"/>
    </row>
    <row r="1187" customHeight="1" spans="12:21">
      <c r="L1187" s="4"/>
      <c r="M1187" s="4"/>
      <c r="U1187" s="4"/>
    </row>
    <row r="1188" customHeight="1" spans="12:21">
      <c r="L1188" s="4"/>
      <c r="M1188" s="4"/>
      <c r="U1188" s="4"/>
    </row>
    <row r="1189" customHeight="1" spans="12:21">
      <c r="L1189" s="4"/>
      <c r="M1189" s="4"/>
      <c r="U1189" s="4"/>
    </row>
    <row r="1190" customHeight="1" spans="12:21">
      <c r="L1190" s="4"/>
      <c r="M1190" s="4"/>
      <c r="U1190" s="4"/>
    </row>
    <row r="1191" customHeight="1" spans="12:21">
      <c r="L1191" s="4"/>
      <c r="M1191" s="4"/>
      <c r="U1191" s="4"/>
    </row>
    <row r="1192" customHeight="1" spans="12:21">
      <c r="L1192" s="4"/>
      <c r="M1192" s="4"/>
      <c r="U1192" s="4"/>
    </row>
    <row r="1193" customHeight="1" spans="12:21">
      <c r="L1193" s="4"/>
      <c r="M1193" s="4"/>
      <c r="U1193" s="4"/>
    </row>
    <row r="1194" customHeight="1" spans="12:21">
      <c r="L1194" s="4"/>
      <c r="M1194" s="4"/>
      <c r="U1194" s="4"/>
    </row>
    <row r="1195" customHeight="1" spans="12:21">
      <c r="L1195" s="4"/>
      <c r="M1195" s="4"/>
      <c r="U1195" s="4"/>
    </row>
    <row r="1196" customHeight="1" spans="12:21">
      <c r="L1196" s="4"/>
      <c r="M1196" s="4"/>
      <c r="U1196" s="4"/>
    </row>
    <row r="1197" customHeight="1" spans="12:21">
      <c r="L1197" s="4"/>
      <c r="M1197" s="4"/>
      <c r="U1197" s="4"/>
    </row>
    <row r="1198" customHeight="1" spans="12:21">
      <c r="L1198" s="4"/>
      <c r="M1198" s="4"/>
      <c r="U1198" s="4"/>
    </row>
    <row r="1199" customHeight="1" spans="12:21">
      <c r="L1199" s="4"/>
      <c r="M1199" s="4"/>
      <c r="U1199" s="4"/>
    </row>
    <row r="1200" customHeight="1" spans="12:21">
      <c r="L1200" s="4"/>
      <c r="M1200" s="4"/>
      <c r="U1200" s="4"/>
    </row>
    <row r="1201" customHeight="1" spans="12:21">
      <c r="L1201" s="4"/>
      <c r="M1201" s="4"/>
      <c r="U1201" s="4"/>
    </row>
    <row r="1202" customHeight="1" spans="12:21">
      <c r="L1202" s="4"/>
      <c r="M1202" s="4"/>
      <c r="U1202" s="4"/>
    </row>
    <row r="1203" customHeight="1" spans="12:21">
      <c r="L1203" s="4"/>
      <c r="M1203" s="4"/>
      <c r="U1203" s="4"/>
    </row>
    <row r="1204" customHeight="1" spans="12:21">
      <c r="L1204" s="4"/>
      <c r="M1204" s="4"/>
      <c r="U1204" s="4"/>
    </row>
    <row r="1205" customHeight="1" spans="12:21">
      <c r="L1205" s="4"/>
      <c r="M1205" s="4"/>
      <c r="U1205" s="4"/>
    </row>
    <row r="1206" customHeight="1" spans="12:21">
      <c r="L1206" s="4"/>
      <c r="M1206" s="4"/>
      <c r="U1206" s="4"/>
    </row>
    <row r="1207" customHeight="1" spans="12:21">
      <c r="L1207" s="4"/>
      <c r="M1207" s="4"/>
      <c r="U1207" s="4"/>
    </row>
    <row r="1208" customHeight="1" spans="12:21">
      <c r="L1208" s="4"/>
      <c r="M1208" s="4"/>
      <c r="U1208" s="4"/>
    </row>
    <row r="1209" customHeight="1" spans="12:21">
      <c r="L1209" s="4"/>
      <c r="M1209" s="4"/>
      <c r="U1209" s="4"/>
    </row>
    <row r="1210" customHeight="1" spans="12:21">
      <c r="L1210" s="4"/>
      <c r="M1210" s="4"/>
      <c r="U1210" s="4"/>
    </row>
    <row r="1211" customHeight="1" spans="12:21">
      <c r="L1211" s="4"/>
      <c r="M1211" s="4"/>
      <c r="U1211" s="4"/>
    </row>
    <row r="1212" customHeight="1" spans="12:21">
      <c r="L1212" s="4"/>
      <c r="M1212" s="4"/>
      <c r="U1212" s="4"/>
    </row>
    <row r="1213" customHeight="1" spans="12:21">
      <c r="L1213" s="4"/>
      <c r="M1213" s="4"/>
      <c r="U1213" s="4"/>
    </row>
    <row r="1214" customHeight="1" spans="12:21">
      <c r="L1214" s="4"/>
      <c r="M1214" s="4"/>
      <c r="U1214" s="4"/>
    </row>
    <row r="1215" customHeight="1" spans="12:21">
      <c r="L1215" s="4"/>
      <c r="M1215" s="4"/>
      <c r="U1215" s="4"/>
    </row>
    <row r="1216" customHeight="1" spans="12:21">
      <c r="L1216" s="4"/>
      <c r="M1216" s="4"/>
      <c r="U1216" s="4"/>
    </row>
    <row r="1217" customHeight="1" spans="12:21">
      <c r="L1217" s="4"/>
      <c r="M1217" s="4"/>
      <c r="U1217" s="4"/>
    </row>
    <row r="1218" customHeight="1" spans="12:21">
      <c r="L1218" s="4"/>
      <c r="M1218" s="4"/>
      <c r="U1218" s="4"/>
    </row>
    <row r="1219" customHeight="1" spans="12:21">
      <c r="L1219" s="4"/>
      <c r="M1219" s="4"/>
      <c r="U1219" s="4"/>
    </row>
    <row r="1220" customHeight="1" spans="12:21">
      <c r="L1220" s="4"/>
      <c r="M1220" s="4"/>
      <c r="U1220" s="4"/>
    </row>
    <row r="1221" customHeight="1" spans="12:21">
      <c r="L1221" s="4"/>
      <c r="M1221" s="4"/>
      <c r="U1221" s="4"/>
    </row>
    <row r="1222" customHeight="1" spans="12:21">
      <c r="L1222" s="4"/>
      <c r="M1222" s="4"/>
      <c r="U1222" s="4"/>
    </row>
    <row r="1223" customHeight="1" spans="12:21">
      <c r="L1223" s="4"/>
      <c r="M1223" s="4"/>
      <c r="U1223" s="4"/>
    </row>
    <row r="1224" customHeight="1" spans="12:21">
      <c r="L1224" s="4"/>
      <c r="M1224" s="4"/>
      <c r="U1224" s="4"/>
    </row>
    <row r="1225" customHeight="1" spans="12:21">
      <c r="L1225" s="4"/>
      <c r="M1225" s="4"/>
      <c r="U1225" s="4"/>
    </row>
    <row r="1226" customHeight="1" spans="12:21">
      <c r="L1226" s="4"/>
      <c r="M1226" s="4"/>
      <c r="U1226" s="4"/>
    </row>
    <row r="1227" customHeight="1" spans="12:21">
      <c r="L1227" s="4"/>
      <c r="M1227" s="4"/>
      <c r="U1227" s="4"/>
    </row>
    <row r="1228" customHeight="1" spans="12:21">
      <c r="L1228" s="4"/>
      <c r="M1228" s="4"/>
      <c r="U1228" s="4"/>
    </row>
    <row r="1229" customHeight="1" spans="12:21">
      <c r="L1229" s="4"/>
      <c r="M1229" s="4"/>
      <c r="U1229" s="4"/>
    </row>
    <row r="1230" customHeight="1" spans="12:21">
      <c r="L1230" s="4"/>
      <c r="M1230" s="4"/>
      <c r="U1230" s="4"/>
    </row>
    <row r="1231" customHeight="1" spans="12:21">
      <c r="L1231" s="4"/>
      <c r="M1231" s="4"/>
      <c r="U1231" s="4"/>
    </row>
    <row r="1232" customHeight="1" spans="12:21">
      <c r="L1232" s="4"/>
      <c r="M1232" s="4"/>
      <c r="U1232" s="4"/>
    </row>
    <row r="1233" customHeight="1" spans="12:21">
      <c r="L1233" s="4"/>
      <c r="M1233" s="4"/>
      <c r="U1233" s="4"/>
    </row>
    <row r="1234" customHeight="1" spans="12:21">
      <c r="L1234" s="4"/>
      <c r="M1234" s="4"/>
      <c r="U1234" s="4"/>
    </row>
    <row r="1235" customHeight="1" spans="12:21">
      <c r="L1235" s="4"/>
      <c r="M1235" s="4"/>
      <c r="U1235" s="4"/>
    </row>
    <row r="1236" customHeight="1" spans="12:21">
      <c r="L1236" s="4"/>
      <c r="M1236" s="4"/>
      <c r="U1236" s="4"/>
    </row>
    <row r="1237" customHeight="1" spans="12:21">
      <c r="L1237" s="4"/>
      <c r="M1237" s="4"/>
      <c r="U1237" s="4"/>
    </row>
    <row r="1238" customHeight="1" spans="12:21">
      <c r="L1238" s="4"/>
      <c r="M1238" s="4"/>
      <c r="U1238" s="4"/>
    </row>
    <row r="1239" customHeight="1" spans="12:21">
      <c r="L1239" s="4"/>
      <c r="M1239" s="4"/>
      <c r="U1239" s="4"/>
    </row>
    <row r="1240" customHeight="1" spans="12:21">
      <c r="L1240" s="4"/>
      <c r="M1240" s="4"/>
      <c r="U1240" s="4"/>
    </row>
    <row r="1241" customHeight="1" spans="12:21">
      <c r="L1241" s="4"/>
      <c r="M1241" s="4"/>
      <c r="U1241" s="4"/>
    </row>
    <row r="1242" customHeight="1" spans="12:21">
      <c r="L1242" s="4"/>
      <c r="M1242" s="4"/>
      <c r="U1242" s="4"/>
    </row>
    <row r="1243" customHeight="1" spans="12:21">
      <c r="L1243" s="4"/>
      <c r="M1243" s="4"/>
      <c r="U1243" s="4"/>
    </row>
    <row r="1244" customHeight="1" spans="12:21">
      <c r="L1244" s="4"/>
      <c r="M1244" s="4"/>
      <c r="U1244" s="4"/>
    </row>
    <row r="1245" customHeight="1" spans="12:21">
      <c r="L1245" s="4"/>
      <c r="M1245" s="4"/>
      <c r="U1245" s="4"/>
    </row>
    <row r="1246" customHeight="1" spans="12:21">
      <c r="L1246" s="4"/>
      <c r="M1246" s="4"/>
      <c r="U1246" s="4"/>
    </row>
    <row r="1247" customHeight="1" spans="12:21">
      <c r="L1247" s="4"/>
      <c r="M1247" s="4"/>
      <c r="U1247" s="4"/>
    </row>
    <row r="1248" customHeight="1" spans="12:21">
      <c r="L1248" s="4"/>
      <c r="M1248" s="4"/>
      <c r="U1248" s="4"/>
    </row>
    <row r="1249" customHeight="1" spans="12:21">
      <c r="L1249" s="4"/>
      <c r="M1249" s="4"/>
      <c r="U1249" s="4"/>
    </row>
    <row r="1250" customHeight="1" spans="12:21">
      <c r="L1250" s="4"/>
      <c r="M1250" s="4"/>
      <c r="U1250" s="4"/>
    </row>
    <row r="1251" customHeight="1" spans="12:21">
      <c r="L1251" s="4"/>
      <c r="M1251" s="4"/>
      <c r="U1251" s="4"/>
    </row>
    <row r="1252" customHeight="1" spans="12:21">
      <c r="L1252" s="4"/>
      <c r="M1252" s="4"/>
      <c r="U1252" s="4"/>
    </row>
    <row r="1253" customHeight="1" spans="12:21">
      <c r="L1253" s="4"/>
      <c r="M1253" s="4"/>
      <c r="U1253" s="4"/>
    </row>
    <row r="1254" customHeight="1" spans="12:21">
      <c r="L1254" s="4"/>
      <c r="M1254" s="4"/>
      <c r="U1254" s="4"/>
    </row>
    <row r="1255" customHeight="1" spans="12:21">
      <c r="L1255" s="4"/>
      <c r="M1255" s="4"/>
      <c r="U1255" s="4"/>
    </row>
    <row r="1256" customHeight="1" spans="12:21">
      <c r="L1256" s="4"/>
      <c r="M1256" s="4"/>
      <c r="U1256" s="4"/>
    </row>
    <row r="1257" customHeight="1" spans="12:21">
      <c r="L1257" s="4"/>
      <c r="M1257" s="4"/>
      <c r="U1257" s="4"/>
    </row>
    <row r="1258" customHeight="1" spans="12:21">
      <c r="L1258" s="4"/>
      <c r="M1258" s="4"/>
      <c r="U1258" s="4"/>
    </row>
    <row r="1259" customHeight="1" spans="12:21">
      <c r="L1259" s="4"/>
      <c r="M1259" s="4"/>
      <c r="U1259" s="4"/>
    </row>
    <row r="1260" customHeight="1" spans="12:21">
      <c r="L1260" s="4"/>
      <c r="M1260" s="4"/>
      <c r="U1260" s="4"/>
    </row>
    <row r="1261" customHeight="1" spans="12:21">
      <c r="L1261" s="4"/>
      <c r="M1261" s="4"/>
      <c r="U1261" s="4"/>
    </row>
    <row r="1262" customHeight="1" spans="12:21">
      <c r="L1262" s="4"/>
      <c r="M1262" s="4"/>
      <c r="U1262" s="4"/>
    </row>
    <row r="1263" customHeight="1" spans="12:21">
      <c r="L1263" s="4"/>
      <c r="M1263" s="4"/>
      <c r="U1263" s="4"/>
    </row>
    <row r="1264" customHeight="1" spans="12:21">
      <c r="L1264" s="4"/>
      <c r="M1264" s="4"/>
      <c r="U1264" s="4"/>
    </row>
    <row r="1265" customHeight="1" spans="12:21">
      <c r="L1265" s="4"/>
      <c r="M1265" s="4"/>
      <c r="U1265" s="4"/>
    </row>
    <row r="1266" customHeight="1" spans="12:21">
      <c r="L1266" s="4"/>
      <c r="M1266" s="4"/>
      <c r="U1266" s="4"/>
    </row>
    <row r="1267" customHeight="1" spans="12:21">
      <c r="L1267" s="4"/>
      <c r="M1267" s="4"/>
      <c r="U1267" s="4"/>
    </row>
    <row r="1268" customHeight="1" spans="12:21">
      <c r="L1268" s="4"/>
      <c r="M1268" s="4"/>
      <c r="U1268" s="4"/>
    </row>
    <row r="1269" customHeight="1" spans="12:21">
      <c r="L1269" s="4"/>
      <c r="M1269" s="4"/>
      <c r="U1269" s="4"/>
    </row>
    <row r="1270" customHeight="1" spans="12:21">
      <c r="L1270" s="4"/>
      <c r="M1270" s="4"/>
      <c r="U1270" s="4"/>
    </row>
    <row r="1271" customHeight="1" spans="12:21">
      <c r="L1271" s="4"/>
      <c r="M1271" s="4"/>
      <c r="U1271" s="4"/>
    </row>
    <row r="1272" customHeight="1" spans="12:21">
      <c r="L1272" s="4"/>
      <c r="M1272" s="4"/>
      <c r="U1272" s="4"/>
    </row>
    <row r="1273" customHeight="1" spans="12:21">
      <c r="L1273" s="4"/>
      <c r="M1273" s="4"/>
      <c r="U1273" s="4"/>
    </row>
    <row r="1274" customHeight="1" spans="12:21">
      <c r="L1274" s="4"/>
      <c r="M1274" s="4"/>
      <c r="U1274" s="4"/>
    </row>
    <row r="1275" customHeight="1" spans="12:21">
      <c r="L1275" s="4"/>
      <c r="M1275" s="4"/>
      <c r="U1275" s="4"/>
    </row>
    <row r="1276" customHeight="1" spans="12:21">
      <c r="L1276" s="4"/>
      <c r="M1276" s="4"/>
      <c r="U1276" s="4"/>
    </row>
    <row r="1277" customHeight="1" spans="12:21">
      <c r="L1277" s="4"/>
      <c r="M1277" s="4"/>
      <c r="U1277" s="4"/>
    </row>
    <row r="1278" customHeight="1" spans="12:21">
      <c r="L1278" s="4"/>
      <c r="M1278" s="4"/>
      <c r="U1278" s="4"/>
    </row>
    <row r="1279" customHeight="1" spans="12:21">
      <c r="L1279" s="4"/>
      <c r="M1279" s="4"/>
      <c r="U1279" s="4"/>
    </row>
    <row r="1280" customHeight="1" spans="12:21">
      <c r="L1280" s="4"/>
      <c r="M1280" s="4"/>
      <c r="U1280" s="4"/>
    </row>
    <row r="1281" customHeight="1" spans="12:21">
      <c r="L1281" s="4"/>
      <c r="M1281" s="4"/>
      <c r="U1281" s="4"/>
    </row>
    <row r="1282" customHeight="1" spans="12:21">
      <c r="L1282" s="4"/>
      <c r="M1282" s="4"/>
      <c r="U1282" s="4"/>
    </row>
    <row r="1283" customHeight="1" spans="12:21">
      <c r="L1283" s="4"/>
      <c r="M1283" s="4"/>
      <c r="U1283" s="4"/>
    </row>
    <row r="1284" customHeight="1" spans="12:21">
      <c r="L1284" s="4"/>
      <c r="M1284" s="4"/>
      <c r="U1284" s="4"/>
    </row>
    <row r="1285" customHeight="1" spans="12:21">
      <c r="L1285" s="4"/>
      <c r="M1285" s="4"/>
      <c r="U1285" s="4"/>
    </row>
    <row r="1286" customHeight="1" spans="12:21">
      <c r="L1286" s="4"/>
      <c r="M1286" s="4"/>
      <c r="U1286" s="4"/>
    </row>
    <row r="1287" customHeight="1" spans="12:21">
      <c r="L1287" s="4"/>
      <c r="M1287" s="4"/>
      <c r="U1287" s="4"/>
    </row>
    <row r="1288" customHeight="1" spans="12:21">
      <c r="L1288" s="4"/>
      <c r="M1288" s="4"/>
      <c r="U1288" s="4"/>
    </row>
    <row r="1289" customHeight="1" spans="12:21">
      <c r="L1289" s="4"/>
      <c r="M1289" s="4"/>
      <c r="U1289" s="4"/>
    </row>
    <row r="1290" customHeight="1" spans="12:21">
      <c r="L1290" s="4"/>
      <c r="M1290" s="4"/>
      <c r="U1290" s="4"/>
    </row>
    <row r="1291" customHeight="1" spans="12:21">
      <c r="L1291" s="4"/>
      <c r="M1291" s="4"/>
      <c r="U1291" s="4"/>
    </row>
    <row r="1292" customHeight="1" spans="12:21">
      <c r="L1292" s="4"/>
      <c r="M1292" s="4"/>
      <c r="U1292" s="4"/>
    </row>
    <row r="1293" customHeight="1" spans="12:21">
      <c r="L1293" s="4"/>
      <c r="M1293" s="4"/>
      <c r="U1293" s="4"/>
    </row>
    <row r="1294" customHeight="1" spans="12:21">
      <c r="L1294" s="4"/>
      <c r="M1294" s="4"/>
      <c r="U1294" s="4"/>
    </row>
    <row r="1295" customHeight="1" spans="12:21">
      <c r="L1295" s="4"/>
      <c r="M1295" s="4"/>
      <c r="U1295" s="4"/>
    </row>
    <row r="1296" customHeight="1" spans="12:21">
      <c r="L1296" s="4"/>
      <c r="M1296" s="4"/>
      <c r="U1296" s="4"/>
    </row>
    <row r="1297" customHeight="1" spans="12:21">
      <c r="L1297" s="4"/>
      <c r="M1297" s="4"/>
      <c r="U1297" s="4"/>
    </row>
    <row r="1298" customHeight="1" spans="12:21">
      <c r="L1298" s="4"/>
      <c r="M1298" s="4"/>
      <c r="U1298" s="4"/>
    </row>
    <row r="1299" customHeight="1" spans="12:21">
      <c r="L1299" s="4"/>
      <c r="M1299" s="4"/>
      <c r="U1299" s="4"/>
    </row>
    <row r="1300" customHeight="1" spans="12:21">
      <c r="L1300" s="4"/>
      <c r="M1300" s="4"/>
      <c r="U1300" s="4"/>
    </row>
    <row r="1301" customHeight="1" spans="12:21">
      <c r="L1301" s="4"/>
      <c r="M1301" s="4"/>
      <c r="U1301" s="4"/>
    </row>
    <row r="1302" customHeight="1" spans="12:21">
      <c r="L1302" s="4"/>
      <c r="M1302" s="4"/>
      <c r="U1302" s="4"/>
    </row>
    <row r="1303" customHeight="1" spans="12:21">
      <c r="L1303" s="4"/>
      <c r="M1303" s="4"/>
      <c r="U1303" s="4"/>
    </row>
    <row r="1304" customHeight="1" spans="12:21">
      <c r="L1304" s="4"/>
      <c r="M1304" s="4"/>
      <c r="U1304" s="4"/>
    </row>
    <row r="1305" customHeight="1" spans="12:21">
      <c r="L1305" s="4"/>
      <c r="M1305" s="4"/>
      <c r="U1305" s="4"/>
    </row>
    <row r="1306" customHeight="1" spans="12:21">
      <c r="L1306" s="4"/>
      <c r="M1306" s="4"/>
      <c r="U1306" s="4"/>
    </row>
    <row r="1307" customHeight="1" spans="12:21">
      <c r="L1307" s="4"/>
      <c r="M1307" s="4"/>
      <c r="U1307" s="4"/>
    </row>
    <row r="1308" customHeight="1" spans="12:21">
      <c r="L1308" s="4"/>
      <c r="M1308" s="4"/>
      <c r="U1308" s="4"/>
    </row>
    <row r="1309" customHeight="1" spans="12:21">
      <c r="L1309" s="4"/>
      <c r="M1309" s="4"/>
      <c r="U1309" s="4"/>
    </row>
    <row r="1310" customHeight="1" spans="12:21">
      <c r="L1310" s="4"/>
      <c r="M1310" s="4"/>
      <c r="U1310" s="4"/>
    </row>
    <row r="1311" customHeight="1" spans="12:21">
      <c r="L1311" s="4"/>
      <c r="M1311" s="4"/>
      <c r="U1311" s="4"/>
    </row>
    <row r="1312" customHeight="1" spans="12:21">
      <c r="L1312" s="4"/>
      <c r="M1312" s="4"/>
      <c r="U1312" s="4"/>
    </row>
    <row r="1313" customHeight="1" spans="12:21">
      <c r="L1313" s="4"/>
      <c r="M1313" s="4"/>
      <c r="U1313" s="4"/>
    </row>
    <row r="1314" customHeight="1" spans="12:21">
      <c r="L1314" s="4"/>
      <c r="M1314" s="4"/>
      <c r="U1314" s="4"/>
    </row>
    <row r="1315" customHeight="1" spans="12:21">
      <c r="L1315" s="4"/>
      <c r="M1315" s="4"/>
      <c r="U1315" s="4"/>
    </row>
    <row r="1316" customHeight="1" spans="12:21">
      <c r="L1316" s="4"/>
      <c r="M1316" s="4"/>
      <c r="U1316" s="4"/>
    </row>
    <row r="1317" customHeight="1" spans="12:21">
      <c r="L1317" s="4"/>
      <c r="M1317" s="4"/>
      <c r="U1317" s="4"/>
    </row>
    <row r="1318" customHeight="1" spans="12:21">
      <c r="L1318" s="4"/>
      <c r="M1318" s="4"/>
      <c r="U1318" s="4"/>
    </row>
    <row r="1319" customHeight="1" spans="12:21">
      <c r="L1319" s="4"/>
      <c r="M1319" s="4"/>
      <c r="U1319" s="4"/>
    </row>
    <row r="1320" customHeight="1" spans="12:21">
      <c r="L1320" s="4"/>
      <c r="M1320" s="4"/>
      <c r="U1320" s="4"/>
    </row>
    <row r="1321" customHeight="1" spans="12:21">
      <c r="L1321" s="4"/>
      <c r="M1321" s="4"/>
      <c r="U1321" s="4"/>
    </row>
    <row r="1322" customHeight="1" spans="12:21">
      <c r="L1322" s="4"/>
      <c r="M1322" s="4"/>
      <c r="U1322" s="4"/>
    </row>
    <row r="1323" customHeight="1" spans="12:21">
      <c r="L1323" s="4"/>
      <c r="M1323" s="4"/>
      <c r="U1323" s="4"/>
    </row>
    <row r="1324" customHeight="1" spans="12:21">
      <c r="L1324" s="4"/>
      <c r="M1324" s="4"/>
      <c r="U1324" s="4"/>
    </row>
    <row r="1325" customHeight="1" spans="12:21">
      <c r="L1325" s="4"/>
      <c r="M1325" s="4"/>
      <c r="U1325" s="4"/>
    </row>
    <row r="1326" customHeight="1" spans="12:21">
      <c r="L1326" s="4"/>
      <c r="M1326" s="4"/>
      <c r="U1326" s="4"/>
    </row>
    <row r="1327" customHeight="1" spans="12:21">
      <c r="L1327" s="4"/>
      <c r="M1327" s="4"/>
      <c r="U1327" s="4"/>
    </row>
    <row r="1328" customHeight="1" spans="12:21">
      <c r="L1328" s="4"/>
      <c r="M1328" s="4"/>
      <c r="U1328" s="4"/>
    </row>
    <row r="1329" customHeight="1" spans="12:21">
      <c r="L1329" s="4"/>
      <c r="M1329" s="4"/>
      <c r="U1329" s="4"/>
    </row>
    <row r="1330" customHeight="1" spans="12:21">
      <c r="L1330" s="4"/>
      <c r="M1330" s="4"/>
      <c r="U1330" s="4"/>
    </row>
    <row r="1331" customHeight="1" spans="12:21">
      <c r="L1331" s="4"/>
      <c r="M1331" s="4"/>
      <c r="U1331" s="4"/>
    </row>
    <row r="1332" customHeight="1" spans="12:21">
      <c r="L1332" s="4"/>
      <c r="M1332" s="4"/>
      <c r="U1332" s="4"/>
    </row>
    <row r="1333" customHeight="1" spans="12:21">
      <c r="L1333" s="4"/>
      <c r="M1333" s="4"/>
      <c r="U1333" s="4"/>
    </row>
    <row r="1334" customHeight="1" spans="12:21">
      <c r="L1334" s="4"/>
      <c r="M1334" s="4"/>
      <c r="U1334" s="4"/>
    </row>
    <row r="1335" customHeight="1" spans="12:21">
      <c r="L1335" s="4"/>
      <c r="M1335" s="4"/>
      <c r="U1335" s="4"/>
    </row>
    <row r="1336" customHeight="1" spans="12:21">
      <c r="L1336" s="4"/>
      <c r="M1336" s="4"/>
      <c r="U1336" s="4"/>
    </row>
    <row r="1337" customHeight="1" spans="12:21">
      <c r="L1337" s="4"/>
      <c r="M1337" s="4"/>
      <c r="U1337" s="4"/>
    </row>
    <row r="1338" customHeight="1" spans="12:21">
      <c r="L1338" s="4"/>
      <c r="M1338" s="4"/>
      <c r="U1338" s="4"/>
    </row>
    <row r="1339" customHeight="1" spans="12:21">
      <c r="L1339" s="4"/>
      <c r="M1339" s="4"/>
      <c r="U1339" s="4"/>
    </row>
    <row r="1340" customHeight="1" spans="12:21">
      <c r="L1340" s="4"/>
      <c r="M1340" s="4"/>
      <c r="U1340" s="4"/>
    </row>
    <row r="1341" customHeight="1" spans="12:21">
      <c r="L1341" s="4"/>
      <c r="M1341" s="4"/>
      <c r="U1341" s="4"/>
    </row>
    <row r="1342" customHeight="1" spans="12:21">
      <c r="L1342" s="4"/>
      <c r="M1342" s="4"/>
      <c r="U1342" s="4"/>
    </row>
    <row r="1343" customHeight="1" spans="12:21">
      <c r="L1343" s="4"/>
      <c r="M1343" s="4"/>
      <c r="U1343" s="4"/>
    </row>
    <row r="1344" customHeight="1" spans="12:21">
      <c r="L1344" s="4"/>
      <c r="M1344" s="4"/>
      <c r="U1344" s="4"/>
    </row>
    <row r="1345" customHeight="1" spans="12:21">
      <c r="L1345" s="4"/>
      <c r="M1345" s="4"/>
      <c r="U1345" s="4"/>
    </row>
    <row r="1346" customHeight="1" spans="12:21">
      <c r="L1346" s="4"/>
      <c r="M1346" s="4"/>
      <c r="U1346" s="4"/>
    </row>
    <row r="1347" customHeight="1" spans="12:21">
      <c r="L1347" s="4"/>
      <c r="M1347" s="4"/>
      <c r="U1347" s="4"/>
    </row>
    <row r="1348" customHeight="1" spans="12:21">
      <c r="L1348" s="4"/>
      <c r="M1348" s="4"/>
      <c r="U1348" s="4"/>
    </row>
    <row r="1349" customHeight="1" spans="12:21">
      <c r="L1349" s="4"/>
      <c r="M1349" s="4"/>
      <c r="U1349" s="4"/>
    </row>
    <row r="1350" customHeight="1" spans="12:21">
      <c r="L1350" s="4"/>
      <c r="M1350" s="4"/>
      <c r="U1350" s="4"/>
    </row>
    <row r="1351" customHeight="1" spans="12:21">
      <c r="L1351" s="4"/>
      <c r="M1351" s="4"/>
      <c r="U1351" s="4"/>
    </row>
    <row r="1352" customHeight="1" spans="12:21">
      <c r="L1352" s="4"/>
      <c r="M1352" s="4"/>
      <c r="U1352" s="4"/>
    </row>
    <row r="1353" customHeight="1" spans="12:21">
      <c r="L1353" s="4"/>
      <c r="M1353" s="4"/>
      <c r="U1353" s="4"/>
    </row>
    <row r="1354" customHeight="1" spans="12:21">
      <c r="L1354" s="4"/>
      <c r="M1354" s="4"/>
      <c r="U1354" s="4"/>
    </row>
    <row r="1355" customHeight="1" spans="12:21">
      <c r="L1355" s="4"/>
      <c r="M1355" s="4"/>
      <c r="U1355" s="4"/>
    </row>
    <row r="1356" customHeight="1" spans="12:21">
      <c r="L1356" s="4"/>
      <c r="M1356" s="4"/>
      <c r="U1356" s="4"/>
    </row>
    <row r="1357" customHeight="1" spans="12:21">
      <c r="L1357" s="4"/>
      <c r="M1357" s="4"/>
      <c r="U1357" s="4"/>
    </row>
    <row r="1358" customHeight="1" spans="12:21">
      <c r="L1358" s="4"/>
      <c r="M1358" s="4"/>
      <c r="U1358" s="4"/>
    </row>
    <row r="1359" customHeight="1" spans="12:21">
      <c r="L1359" s="4"/>
      <c r="M1359" s="4"/>
      <c r="U1359" s="4"/>
    </row>
    <row r="1360" customHeight="1" spans="12:21">
      <c r="L1360" s="4"/>
      <c r="M1360" s="4"/>
      <c r="U1360" s="4"/>
    </row>
    <row r="1361" customHeight="1" spans="12:21">
      <c r="L1361" s="4"/>
      <c r="M1361" s="4"/>
      <c r="U1361" s="4"/>
    </row>
    <row r="1362" customHeight="1" spans="12:21">
      <c r="L1362" s="4"/>
      <c r="M1362" s="4"/>
      <c r="U1362" s="4"/>
    </row>
    <row r="1363" customHeight="1" spans="12:21">
      <c r="L1363" s="4"/>
      <c r="M1363" s="4"/>
      <c r="U1363" s="4"/>
    </row>
    <row r="1364" customHeight="1" spans="12:21">
      <c r="L1364" s="4"/>
      <c r="M1364" s="4"/>
      <c r="U1364" s="4"/>
    </row>
    <row r="1365" customHeight="1" spans="12:21">
      <c r="L1365" s="4"/>
      <c r="M1365" s="4"/>
      <c r="U1365" s="4"/>
    </row>
    <row r="1366" customHeight="1" spans="12:21">
      <c r="L1366" s="4"/>
      <c r="M1366" s="4"/>
      <c r="U1366" s="4"/>
    </row>
    <row r="1367" customHeight="1" spans="12:21">
      <c r="L1367" s="4"/>
      <c r="M1367" s="4"/>
      <c r="U1367" s="4"/>
    </row>
    <row r="1368" customHeight="1" spans="12:21">
      <c r="L1368" s="4"/>
      <c r="M1368" s="4"/>
      <c r="U1368" s="4"/>
    </row>
    <row r="1369" customHeight="1" spans="12:21">
      <c r="L1369" s="4"/>
      <c r="M1369" s="4"/>
      <c r="U1369" s="4"/>
    </row>
    <row r="1370" customHeight="1" spans="12:21">
      <c r="L1370" s="4"/>
      <c r="M1370" s="4"/>
      <c r="U1370" s="4"/>
    </row>
    <row r="1371" customHeight="1" spans="12:21">
      <c r="L1371" s="4"/>
      <c r="M1371" s="4"/>
      <c r="U1371" s="4"/>
    </row>
    <row r="1372" customHeight="1" spans="12:21">
      <c r="L1372" s="4"/>
      <c r="M1372" s="4"/>
      <c r="U1372" s="4"/>
    </row>
    <row r="1373" customHeight="1" spans="12:21">
      <c r="L1373" s="4"/>
      <c r="M1373" s="4"/>
      <c r="U1373" s="4"/>
    </row>
    <row r="1374" customHeight="1" spans="12:21">
      <c r="L1374" s="4"/>
      <c r="M1374" s="4"/>
      <c r="U1374" s="4"/>
    </row>
    <row r="1375" customHeight="1" spans="12:21">
      <c r="L1375" s="4"/>
      <c r="M1375" s="4"/>
      <c r="U1375" s="4"/>
    </row>
    <row r="1376" customHeight="1" spans="12:21">
      <c r="L1376" s="4"/>
      <c r="M1376" s="4"/>
      <c r="U1376" s="4"/>
    </row>
    <row r="1377" customHeight="1" spans="12:21">
      <c r="L1377" s="4"/>
      <c r="M1377" s="4"/>
      <c r="U1377" s="4"/>
    </row>
    <row r="1378" customHeight="1" spans="12:21">
      <c r="L1378" s="4"/>
      <c r="M1378" s="4"/>
      <c r="U1378" s="4"/>
    </row>
    <row r="1379" customHeight="1" spans="12:21">
      <c r="L1379" s="4"/>
      <c r="M1379" s="4"/>
      <c r="U1379" s="4"/>
    </row>
    <row r="1380" customHeight="1" spans="12:21">
      <c r="L1380" s="4"/>
      <c r="M1380" s="4"/>
      <c r="U1380" s="4"/>
    </row>
    <row r="1381" customHeight="1" spans="12:21">
      <c r="L1381" s="4"/>
      <c r="M1381" s="4"/>
      <c r="U1381" s="4"/>
    </row>
    <row r="1382" customHeight="1" spans="12:21">
      <c r="L1382" s="4"/>
      <c r="M1382" s="4"/>
      <c r="U1382" s="4"/>
    </row>
    <row r="1383" customHeight="1" spans="12:21">
      <c r="L1383" s="4"/>
      <c r="M1383" s="4"/>
      <c r="U1383" s="4"/>
    </row>
    <row r="1384" customHeight="1" spans="12:21">
      <c r="L1384" s="4"/>
      <c r="M1384" s="4"/>
      <c r="U1384" s="4"/>
    </row>
    <row r="1385" customHeight="1" spans="12:21">
      <c r="L1385" s="4"/>
      <c r="M1385" s="4"/>
      <c r="U1385" s="4"/>
    </row>
    <row r="1386" customHeight="1" spans="12:21">
      <c r="L1386" s="4"/>
      <c r="M1386" s="4"/>
      <c r="U1386" s="4"/>
    </row>
    <row r="1387" customHeight="1" spans="12:21">
      <c r="L1387" s="4"/>
      <c r="M1387" s="4"/>
      <c r="U1387" s="4"/>
    </row>
    <row r="1388" customHeight="1" spans="12:21">
      <c r="L1388" s="4"/>
      <c r="M1388" s="4"/>
      <c r="U1388" s="4"/>
    </row>
    <row r="1389" customHeight="1" spans="12:21">
      <c r="L1389" s="4"/>
      <c r="M1389" s="4"/>
      <c r="U1389" s="4"/>
    </row>
    <row r="1390" customHeight="1" spans="12:21">
      <c r="L1390" s="4"/>
      <c r="M1390" s="4"/>
      <c r="U1390" s="4"/>
    </row>
    <row r="1391" customHeight="1" spans="12:21">
      <c r="L1391" s="4"/>
      <c r="M1391" s="4"/>
      <c r="U1391" s="4"/>
    </row>
    <row r="1392" customHeight="1" spans="12:21">
      <c r="L1392" s="4"/>
      <c r="M1392" s="4"/>
      <c r="U1392" s="4"/>
    </row>
    <row r="1393" customHeight="1" spans="12:21">
      <c r="L1393" s="4"/>
      <c r="M1393" s="4"/>
      <c r="U1393" s="4"/>
    </row>
    <row r="1394" customHeight="1" spans="12:21">
      <c r="L1394" s="4"/>
      <c r="M1394" s="4"/>
      <c r="U1394" s="4"/>
    </row>
    <row r="1395" customHeight="1" spans="12:21">
      <c r="L1395" s="4"/>
      <c r="M1395" s="4"/>
      <c r="U1395" s="4"/>
    </row>
    <row r="1396" customHeight="1" spans="12:21">
      <c r="L1396" s="4"/>
      <c r="M1396" s="4"/>
      <c r="U1396" s="4"/>
    </row>
    <row r="1397" customHeight="1" spans="12:21">
      <c r="L1397" s="4"/>
      <c r="M1397" s="4"/>
      <c r="U1397" s="4"/>
    </row>
    <row r="1398" customHeight="1" spans="12:21">
      <c r="L1398" s="4"/>
      <c r="M1398" s="4"/>
      <c r="U1398" s="4"/>
    </row>
    <row r="1399" customHeight="1" spans="12:21">
      <c r="L1399" s="4"/>
      <c r="M1399" s="4"/>
      <c r="U1399" s="4"/>
    </row>
    <row r="1400" customHeight="1" spans="12:21">
      <c r="L1400" s="4"/>
      <c r="M1400" s="4"/>
      <c r="U1400" s="4"/>
    </row>
    <row r="1401" customHeight="1" spans="12:21">
      <c r="L1401" s="4"/>
      <c r="M1401" s="4"/>
      <c r="U1401" s="4"/>
    </row>
    <row r="1402" customHeight="1" spans="12:21">
      <c r="L1402" s="4"/>
      <c r="M1402" s="4"/>
      <c r="U1402" s="4"/>
    </row>
    <row r="1403" customHeight="1" spans="12:21">
      <c r="L1403" s="4"/>
      <c r="M1403" s="4"/>
      <c r="U1403" s="4"/>
    </row>
    <row r="1404" customHeight="1" spans="12:21">
      <c r="L1404" s="4"/>
      <c r="M1404" s="4"/>
      <c r="U1404" s="4"/>
    </row>
    <row r="1405" customHeight="1" spans="12:21">
      <c r="L1405" s="4"/>
      <c r="M1405" s="4"/>
      <c r="U1405" s="4"/>
    </row>
    <row r="1406" customHeight="1" spans="12:21">
      <c r="L1406" s="4"/>
      <c r="M1406" s="4"/>
      <c r="U1406" s="4"/>
    </row>
    <row r="1407" customHeight="1" spans="12:21">
      <c r="L1407" s="4"/>
      <c r="M1407" s="4"/>
      <c r="U1407" s="4"/>
    </row>
    <row r="1408" customHeight="1" spans="12:21">
      <c r="L1408" s="4"/>
      <c r="M1408" s="4"/>
      <c r="U1408" s="4"/>
    </row>
    <row r="1409" customHeight="1" spans="12:21">
      <c r="L1409" s="4"/>
      <c r="M1409" s="4"/>
      <c r="U1409" s="4"/>
    </row>
    <row r="1410" customHeight="1" spans="12:21">
      <c r="L1410" s="4"/>
      <c r="M1410" s="4"/>
      <c r="U1410" s="4"/>
    </row>
    <row r="1411" customHeight="1" spans="12:21">
      <c r="L1411" s="4"/>
      <c r="M1411" s="4"/>
      <c r="U1411" s="4"/>
    </row>
    <row r="1412" customHeight="1" spans="12:21">
      <c r="L1412" s="4"/>
      <c r="M1412" s="4"/>
      <c r="U1412" s="4"/>
    </row>
    <row r="1413" customHeight="1" spans="12:21">
      <c r="L1413" s="4"/>
      <c r="M1413" s="4"/>
      <c r="U1413" s="4"/>
    </row>
    <row r="1414" customHeight="1" spans="12:21">
      <c r="L1414" s="4"/>
      <c r="M1414" s="4"/>
      <c r="U1414" s="4"/>
    </row>
    <row r="1415" customHeight="1" spans="12:21">
      <c r="L1415" s="4"/>
      <c r="M1415" s="4"/>
      <c r="U1415" s="4"/>
    </row>
    <row r="1416" customHeight="1" spans="12:21">
      <c r="L1416" s="4"/>
      <c r="M1416" s="4"/>
      <c r="U1416" s="4"/>
    </row>
    <row r="1417" customHeight="1" spans="12:21">
      <c r="L1417" s="4"/>
      <c r="M1417" s="4"/>
      <c r="U1417" s="4"/>
    </row>
    <row r="1418" customHeight="1" spans="12:21">
      <c r="L1418" s="4"/>
      <c r="M1418" s="4"/>
      <c r="U1418" s="4"/>
    </row>
    <row r="1419" customHeight="1" spans="12:21">
      <c r="L1419" s="4"/>
      <c r="M1419" s="4"/>
      <c r="U1419" s="4"/>
    </row>
    <row r="1420" customHeight="1" spans="12:21">
      <c r="L1420" s="4"/>
      <c r="M1420" s="4"/>
      <c r="U1420" s="4"/>
    </row>
    <row r="1421" customHeight="1" spans="12:21">
      <c r="L1421" s="4"/>
      <c r="M1421" s="4"/>
      <c r="U1421" s="4"/>
    </row>
    <row r="1422" customHeight="1" spans="12:21">
      <c r="L1422" s="4"/>
      <c r="M1422" s="4"/>
      <c r="U1422" s="4"/>
    </row>
    <row r="1423" customHeight="1" spans="12:21">
      <c r="L1423" s="4"/>
      <c r="M1423" s="4"/>
      <c r="U1423" s="4"/>
    </row>
    <row r="1424" customHeight="1" spans="12:21">
      <c r="L1424" s="4"/>
      <c r="M1424" s="4"/>
      <c r="U1424" s="4"/>
    </row>
    <row r="1425" customHeight="1" spans="12:21">
      <c r="L1425" s="4"/>
      <c r="M1425" s="4"/>
      <c r="U1425" s="4"/>
    </row>
    <row r="1426" customHeight="1" spans="12:21">
      <c r="L1426" s="4"/>
      <c r="M1426" s="4"/>
      <c r="U1426" s="4"/>
    </row>
    <row r="1427" customHeight="1" spans="12:21">
      <c r="L1427" s="4"/>
      <c r="M1427" s="4"/>
      <c r="U1427" s="4"/>
    </row>
    <row r="1428" customHeight="1" spans="12:21">
      <c r="L1428" s="4"/>
      <c r="M1428" s="4"/>
      <c r="U1428" s="4"/>
    </row>
    <row r="1429" customHeight="1" spans="12:21">
      <c r="L1429" s="4"/>
      <c r="M1429" s="4"/>
      <c r="U1429" s="4"/>
    </row>
    <row r="1430" customHeight="1" spans="12:21">
      <c r="L1430" s="4"/>
      <c r="M1430" s="4"/>
      <c r="U1430" s="4"/>
    </row>
    <row r="1431" customHeight="1" spans="12:21">
      <c r="L1431" s="4"/>
      <c r="M1431" s="4"/>
      <c r="U1431" s="4"/>
    </row>
    <row r="1432" customHeight="1" spans="12:21">
      <c r="L1432" s="4"/>
      <c r="M1432" s="4"/>
      <c r="U1432" s="4"/>
    </row>
    <row r="1433" customHeight="1" spans="12:21">
      <c r="L1433" s="4"/>
      <c r="M1433" s="4"/>
      <c r="U1433" s="4"/>
    </row>
    <row r="1434" customHeight="1" spans="12:21">
      <c r="L1434" s="4"/>
      <c r="M1434" s="4"/>
      <c r="U1434" s="4"/>
    </row>
    <row r="1435" customHeight="1" spans="12:21">
      <c r="L1435" s="4"/>
      <c r="M1435" s="4"/>
      <c r="U1435" s="4"/>
    </row>
    <row r="1436" customHeight="1" spans="12:21">
      <c r="L1436" s="4"/>
      <c r="M1436" s="4"/>
      <c r="U1436" s="4"/>
    </row>
    <row r="1437" customHeight="1" spans="12:21">
      <c r="L1437" s="4"/>
      <c r="M1437" s="4"/>
      <c r="U1437" s="4"/>
    </row>
    <row r="1438" customHeight="1" spans="12:21">
      <c r="L1438" s="4"/>
      <c r="M1438" s="4"/>
      <c r="U1438" s="4"/>
    </row>
    <row r="1439" customHeight="1" spans="12:21">
      <c r="L1439" s="4"/>
      <c r="M1439" s="4"/>
      <c r="U1439" s="4"/>
    </row>
    <row r="1440" customHeight="1" spans="12:21">
      <c r="L1440" s="4"/>
      <c r="M1440" s="4"/>
      <c r="U1440" s="4"/>
    </row>
    <row r="1441" customHeight="1" spans="12:21">
      <c r="L1441" s="4"/>
      <c r="M1441" s="4"/>
      <c r="U1441" s="4"/>
    </row>
    <row r="1442" customHeight="1" spans="12:21">
      <c r="L1442" s="4"/>
      <c r="M1442" s="4"/>
      <c r="U1442" s="4"/>
    </row>
    <row r="1443" customHeight="1" spans="12:21">
      <c r="L1443" s="4"/>
      <c r="M1443" s="4"/>
      <c r="U1443" s="4"/>
    </row>
    <row r="1444" customHeight="1" spans="12:21">
      <c r="L1444" s="4"/>
      <c r="M1444" s="4"/>
      <c r="U1444" s="4"/>
    </row>
    <row r="1445" customHeight="1" spans="12:21">
      <c r="L1445" s="4"/>
      <c r="M1445" s="4"/>
      <c r="U1445" s="4"/>
    </row>
    <row r="1446" customHeight="1" spans="12:21">
      <c r="L1446" s="4"/>
      <c r="M1446" s="4"/>
      <c r="U1446" s="4"/>
    </row>
    <row r="1447" customHeight="1" spans="12:21">
      <c r="L1447" s="4"/>
      <c r="M1447" s="4"/>
      <c r="U1447" s="4"/>
    </row>
    <row r="1448" customHeight="1" spans="12:21">
      <c r="L1448" s="4"/>
      <c r="M1448" s="4"/>
      <c r="U1448" s="4"/>
    </row>
    <row r="1449" customHeight="1" spans="12:21">
      <c r="L1449" s="4"/>
      <c r="M1449" s="4"/>
      <c r="U1449" s="4"/>
    </row>
    <row r="1450" customHeight="1" spans="12:21">
      <c r="L1450" s="4"/>
      <c r="M1450" s="4"/>
      <c r="U1450" s="4"/>
    </row>
    <row r="1451" customHeight="1" spans="12:21">
      <c r="L1451" s="4"/>
      <c r="M1451" s="4"/>
      <c r="U1451" s="4"/>
    </row>
    <row r="1452" customHeight="1" spans="12:21">
      <c r="L1452" s="4"/>
      <c r="M1452" s="4"/>
      <c r="U1452" s="4"/>
    </row>
    <row r="1453" customHeight="1" spans="12:21">
      <c r="L1453" s="4"/>
      <c r="M1453" s="4"/>
      <c r="U1453" s="4"/>
    </row>
    <row r="1454" customHeight="1" spans="12:21">
      <c r="L1454" s="4"/>
      <c r="M1454" s="4"/>
      <c r="U1454" s="4"/>
    </row>
    <row r="1455" customHeight="1" spans="12:21">
      <c r="L1455" s="4"/>
      <c r="M1455" s="4"/>
      <c r="U1455" s="4"/>
    </row>
    <row r="1456" customHeight="1" spans="12:21">
      <c r="L1456" s="4"/>
      <c r="M1456" s="4"/>
      <c r="U1456" s="4"/>
    </row>
    <row r="1457" customHeight="1" spans="12:21">
      <c r="L1457" s="4"/>
      <c r="M1457" s="4"/>
      <c r="U1457" s="4"/>
    </row>
    <row r="1458" customHeight="1" spans="12:21">
      <c r="L1458" s="4"/>
      <c r="M1458" s="4"/>
      <c r="U1458" s="4"/>
    </row>
    <row r="1459" customHeight="1" spans="12:21">
      <c r="L1459" s="4"/>
      <c r="M1459" s="4"/>
      <c r="U1459" s="4"/>
    </row>
    <row r="1460" customHeight="1" spans="12:21">
      <c r="L1460" s="4"/>
      <c r="M1460" s="4"/>
      <c r="U1460" s="4"/>
    </row>
    <row r="1461" customHeight="1" spans="12:21">
      <c r="L1461" s="4"/>
      <c r="M1461" s="4"/>
      <c r="U1461" s="4"/>
    </row>
    <row r="1462" customHeight="1" spans="12:21">
      <c r="L1462" s="4"/>
      <c r="M1462" s="4"/>
      <c r="U1462" s="4"/>
    </row>
    <row r="1463" customHeight="1" spans="12:21">
      <c r="L1463" s="4"/>
      <c r="M1463" s="4"/>
      <c r="U1463" s="4"/>
    </row>
    <row r="1464" customHeight="1" spans="12:21">
      <c r="L1464" s="4"/>
      <c r="M1464" s="4"/>
      <c r="U1464" s="4"/>
    </row>
    <row r="1465" customHeight="1" spans="12:21">
      <c r="L1465" s="4"/>
      <c r="M1465" s="4"/>
      <c r="U1465" s="4"/>
    </row>
    <row r="1466" customHeight="1" spans="12:21">
      <c r="L1466" s="4"/>
      <c r="M1466" s="4"/>
      <c r="U1466" s="4"/>
    </row>
    <row r="1467" customHeight="1" spans="12:21">
      <c r="L1467" s="4"/>
      <c r="M1467" s="4"/>
      <c r="U1467" s="4"/>
    </row>
    <row r="1468" customHeight="1" spans="12:21">
      <c r="L1468" s="4"/>
      <c r="M1468" s="4"/>
      <c r="U1468" s="4"/>
    </row>
    <row r="1469" customHeight="1" spans="12:21">
      <c r="L1469" s="4"/>
      <c r="M1469" s="4"/>
      <c r="U1469" s="4"/>
    </row>
    <row r="1470" customHeight="1" spans="12:21">
      <c r="L1470" s="4"/>
      <c r="M1470" s="4"/>
      <c r="U1470" s="4"/>
    </row>
    <row r="1471" customHeight="1" spans="12:21">
      <c r="L1471" s="4"/>
      <c r="M1471" s="4"/>
      <c r="U1471" s="4"/>
    </row>
    <row r="1472" customHeight="1" spans="12:21">
      <c r="L1472" s="4"/>
      <c r="M1472" s="4"/>
      <c r="U1472" s="4"/>
    </row>
    <row r="1473" customHeight="1" spans="12:21">
      <c r="L1473" s="4"/>
      <c r="M1473" s="4"/>
      <c r="U1473" s="4"/>
    </row>
    <row r="1474" customHeight="1" spans="12:21">
      <c r="L1474" s="4"/>
      <c r="M1474" s="4"/>
      <c r="U1474" s="4"/>
    </row>
    <row r="1475" customHeight="1" spans="12:21">
      <c r="L1475" s="4"/>
      <c r="M1475" s="4"/>
      <c r="U1475" s="4"/>
    </row>
    <row r="1476" customHeight="1" spans="12:21">
      <c r="L1476" s="4"/>
      <c r="M1476" s="4"/>
      <c r="U1476" s="4"/>
    </row>
    <row r="1477" customHeight="1" spans="12:21">
      <c r="L1477" s="4"/>
      <c r="M1477" s="4"/>
      <c r="U1477" s="4"/>
    </row>
    <row r="1478" customHeight="1" spans="12:21">
      <c r="L1478" s="4"/>
      <c r="M1478" s="4"/>
      <c r="U1478" s="4"/>
    </row>
    <row r="1479" customHeight="1" spans="12:21">
      <c r="L1479" s="4"/>
      <c r="M1479" s="4"/>
      <c r="U1479" s="4"/>
    </row>
    <row r="1480" customHeight="1" spans="12:21">
      <c r="L1480" s="4"/>
      <c r="M1480" s="4"/>
      <c r="U1480" s="4"/>
    </row>
    <row r="1481" customHeight="1" spans="12:21">
      <c r="L1481" s="4"/>
      <c r="M1481" s="4"/>
      <c r="U1481" s="4"/>
    </row>
    <row r="1482" customHeight="1" spans="12:21">
      <c r="L1482" s="4"/>
      <c r="M1482" s="4"/>
      <c r="U1482" s="4"/>
    </row>
    <row r="1483" customHeight="1" spans="12:21">
      <c r="L1483" s="4"/>
      <c r="M1483" s="4"/>
      <c r="U1483" s="4"/>
    </row>
    <row r="1484" customHeight="1" spans="12:21">
      <c r="L1484" s="4"/>
      <c r="M1484" s="4"/>
      <c r="U1484" s="4"/>
    </row>
    <row r="1485" customHeight="1" spans="12:21">
      <c r="L1485" s="4"/>
      <c r="M1485" s="4"/>
      <c r="U1485" s="4"/>
    </row>
    <row r="1486" customHeight="1" spans="12:21">
      <c r="L1486" s="4"/>
      <c r="M1486" s="4"/>
      <c r="U1486" s="4"/>
    </row>
    <row r="1487" customHeight="1" spans="12:21">
      <c r="L1487" s="4"/>
      <c r="M1487" s="4"/>
      <c r="U1487" s="4"/>
    </row>
    <row r="1488" customHeight="1" spans="12:21">
      <c r="L1488" s="4"/>
      <c r="M1488" s="4"/>
      <c r="U1488" s="4"/>
    </row>
    <row r="1489" customHeight="1" spans="12:21">
      <c r="L1489" s="4"/>
      <c r="M1489" s="4"/>
      <c r="U1489" s="4"/>
    </row>
    <row r="1490" customHeight="1" spans="12:21">
      <c r="L1490" s="4"/>
      <c r="M1490" s="4"/>
      <c r="U1490" s="4"/>
    </row>
    <row r="1491" customHeight="1" spans="12:21">
      <c r="L1491" s="4"/>
      <c r="M1491" s="4"/>
      <c r="U1491" s="4"/>
    </row>
    <row r="1492" customHeight="1" spans="12:21">
      <c r="L1492" s="4"/>
      <c r="M1492" s="4"/>
      <c r="U1492" s="4"/>
    </row>
    <row r="1493" customHeight="1" spans="12:21">
      <c r="L1493" s="4"/>
      <c r="M1493" s="4"/>
      <c r="U1493" s="4"/>
    </row>
    <row r="1494" customHeight="1" spans="12:21">
      <c r="L1494" s="4"/>
      <c r="M1494" s="4"/>
      <c r="U1494" s="4"/>
    </row>
    <row r="1495" customHeight="1" spans="12:21">
      <c r="L1495" s="4"/>
      <c r="M1495" s="4"/>
      <c r="U1495" s="4"/>
    </row>
    <row r="1496" customHeight="1" spans="12:21">
      <c r="L1496" s="4"/>
      <c r="M1496" s="4"/>
      <c r="U1496" s="4"/>
    </row>
    <row r="1497" customHeight="1" spans="12:21">
      <c r="L1497" s="4"/>
      <c r="M1497" s="4"/>
      <c r="U1497" s="4"/>
    </row>
    <row r="1498" customHeight="1" spans="12:21">
      <c r="L1498" s="4"/>
      <c r="M1498" s="4"/>
      <c r="U1498" s="4"/>
    </row>
    <row r="1499" customHeight="1" spans="12:21">
      <c r="L1499" s="4"/>
      <c r="M1499" s="4"/>
      <c r="U1499" s="4"/>
    </row>
    <row r="1500" customHeight="1" spans="12:21">
      <c r="L1500" s="4"/>
      <c r="M1500" s="4"/>
      <c r="U1500" s="4"/>
    </row>
    <row r="1501" customHeight="1" spans="12:21">
      <c r="L1501" s="4"/>
      <c r="M1501" s="4"/>
      <c r="U1501" s="4"/>
    </row>
    <row r="1502" customHeight="1" spans="12:21">
      <c r="L1502" s="4"/>
      <c r="M1502" s="4"/>
      <c r="U1502" s="4"/>
    </row>
    <row r="1503" customHeight="1" spans="12:21">
      <c r="L1503" s="4"/>
      <c r="M1503" s="4"/>
      <c r="U1503" s="4"/>
    </row>
    <row r="1504" customHeight="1" spans="12:21">
      <c r="L1504" s="4"/>
      <c r="M1504" s="4"/>
      <c r="U1504" s="4"/>
    </row>
    <row r="1505" customHeight="1" spans="12:21">
      <c r="L1505" s="4"/>
      <c r="M1505" s="4"/>
      <c r="U1505" s="4"/>
    </row>
    <row r="1506" customHeight="1" spans="12:21">
      <c r="L1506" s="4"/>
      <c r="M1506" s="4"/>
      <c r="U1506" s="4"/>
    </row>
    <row r="1507" customHeight="1" spans="12:21">
      <c r="L1507" s="4"/>
      <c r="M1507" s="4"/>
      <c r="U1507" s="4"/>
    </row>
    <row r="1508" customHeight="1" spans="12:21">
      <c r="L1508" s="4"/>
      <c r="M1508" s="4"/>
      <c r="U1508" s="4"/>
    </row>
    <row r="1509" customHeight="1" spans="12:21">
      <c r="L1509" s="4"/>
      <c r="M1509" s="4"/>
      <c r="U1509" s="4"/>
    </row>
    <row r="1510" customHeight="1" spans="12:21">
      <c r="L1510" s="4"/>
      <c r="M1510" s="4"/>
      <c r="U1510" s="4"/>
    </row>
    <row r="1511" customHeight="1" spans="12:21">
      <c r="L1511" s="4"/>
      <c r="M1511" s="4"/>
      <c r="U1511" s="4"/>
    </row>
    <row r="1512" customHeight="1" spans="12:21">
      <c r="L1512" s="4"/>
      <c r="M1512" s="4"/>
      <c r="U1512" s="4"/>
    </row>
    <row r="1513" customHeight="1" spans="12:21">
      <c r="L1513" s="4"/>
      <c r="M1513" s="4"/>
      <c r="U1513" s="4"/>
    </row>
    <row r="1514" customHeight="1" spans="12:21">
      <c r="L1514" s="4"/>
      <c r="M1514" s="4"/>
      <c r="U1514" s="4"/>
    </row>
    <row r="1515" customHeight="1" spans="12:21">
      <c r="L1515" s="4"/>
      <c r="M1515" s="4"/>
      <c r="U1515" s="4"/>
    </row>
    <row r="1516" customHeight="1" spans="12:21">
      <c r="L1516" s="4"/>
      <c r="M1516" s="4"/>
      <c r="U1516" s="4"/>
    </row>
    <row r="1517" customHeight="1" spans="12:21">
      <c r="L1517" s="4"/>
      <c r="M1517" s="4"/>
      <c r="U1517" s="4"/>
    </row>
    <row r="1518" customHeight="1" spans="12:21">
      <c r="L1518" s="4"/>
      <c r="M1518" s="4"/>
      <c r="U1518" s="4"/>
    </row>
    <row r="1519" customHeight="1" spans="12:21">
      <c r="L1519" s="4"/>
      <c r="M1519" s="4"/>
      <c r="U1519" s="4"/>
    </row>
    <row r="1520" customHeight="1" spans="12:21">
      <c r="L1520" s="4"/>
      <c r="M1520" s="4"/>
      <c r="U1520" s="4"/>
    </row>
    <row r="1521" customHeight="1" spans="12:21">
      <c r="L1521" s="4"/>
      <c r="M1521" s="4"/>
      <c r="U1521" s="4"/>
    </row>
    <row r="1522" customHeight="1" spans="12:21">
      <c r="L1522" s="4"/>
      <c r="M1522" s="4"/>
      <c r="U1522" s="4"/>
    </row>
    <row r="1523" customHeight="1" spans="12:21">
      <c r="L1523" s="4"/>
      <c r="M1523" s="4"/>
      <c r="U1523" s="4"/>
    </row>
    <row r="1524" customHeight="1" spans="12:21">
      <c r="L1524" s="4"/>
      <c r="M1524" s="4"/>
      <c r="U1524" s="4"/>
    </row>
    <row r="1525" customHeight="1" spans="12:21">
      <c r="L1525" s="4"/>
      <c r="M1525" s="4"/>
      <c r="U1525" s="4"/>
    </row>
    <row r="1526" customHeight="1" spans="12:21">
      <c r="L1526" s="4"/>
      <c r="M1526" s="4"/>
      <c r="U1526" s="4"/>
    </row>
    <row r="1527" customHeight="1" spans="12:21">
      <c r="L1527" s="4"/>
      <c r="M1527" s="4"/>
      <c r="U1527" s="4"/>
    </row>
    <row r="1528" customHeight="1" spans="12:21">
      <c r="L1528" s="4"/>
      <c r="M1528" s="4"/>
      <c r="U1528" s="4"/>
    </row>
    <row r="1529" customHeight="1" spans="12:21">
      <c r="L1529" s="4"/>
      <c r="M1529" s="4"/>
      <c r="U1529" s="4"/>
    </row>
    <row r="1530" customHeight="1" spans="12:21">
      <c r="L1530" s="4"/>
      <c r="M1530" s="4"/>
      <c r="U1530" s="4"/>
    </row>
    <row r="1531" customHeight="1" spans="12:21">
      <c r="L1531" s="4"/>
      <c r="M1531" s="4"/>
      <c r="U1531" s="4"/>
    </row>
    <row r="1532" customHeight="1" spans="12:21">
      <c r="L1532" s="4"/>
      <c r="M1532" s="4"/>
      <c r="U1532" s="4"/>
    </row>
    <row r="1533" customHeight="1" spans="12:21">
      <c r="L1533" s="4"/>
      <c r="M1533" s="4"/>
      <c r="U1533" s="4"/>
    </row>
    <row r="1534" customHeight="1" spans="12:21">
      <c r="L1534" s="4"/>
      <c r="M1534" s="4"/>
      <c r="U1534" s="4"/>
    </row>
    <row r="1535" customHeight="1" spans="12:21">
      <c r="L1535" s="4"/>
      <c r="M1535" s="4"/>
      <c r="U1535" s="4"/>
    </row>
    <row r="1536" customHeight="1" spans="12:21">
      <c r="L1536" s="4"/>
      <c r="M1536" s="4"/>
      <c r="U1536" s="4"/>
    </row>
    <row r="1537" customHeight="1" spans="12:21">
      <c r="L1537" s="4"/>
      <c r="M1537" s="4"/>
      <c r="U1537" s="4"/>
    </row>
    <row r="1538" customHeight="1" spans="12:21">
      <c r="L1538" s="4"/>
      <c r="M1538" s="4"/>
      <c r="U1538" s="4"/>
    </row>
    <row r="1539" customHeight="1" spans="12:21">
      <c r="L1539" s="4"/>
      <c r="M1539" s="4"/>
      <c r="U1539" s="4"/>
    </row>
    <row r="1540" customHeight="1" spans="12:21">
      <c r="L1540" s="4"/>
      <c r="M1540" s="4"/>
      <c r="U1540" s="4"/>
    </row>
    <row r="1541" customHeight="1" spans="12:21">
      <c r="L1541" s="4"/>
      <c r="M1541" s="4"/>
      <c r="U1541" s="4"/>
    </row>
    <row r="1542" customHeight="1" spans="12:21">
      <c r="L1542" s="4"/>
      <c r="M1542" s="4"/>
      <c r="U1542" s="4"/>
    </row>
    <row r="1543" customHeight="1" spans="12:21">
      <c r="L1543" s="4"/>
      <c r="M1543" s="4"/>
      <c r="U1543" s="4"/>
    </row>
    <row r="1544" customHeight="1" spans="12:21">
      <c r="L1544" s="4"/>
      <c r="M1544" s="4"/>
      <c r="U1544" s="4"/>
    </row>
    <row r="1545" customHeight="1" spans="12:21">
      <c r="L1545" s="4"/>
      <c r="M1545" s="4"/>
      <c r="U1545" s="4"/>
    </row>
    <row r="1546" customHeight="1" spans="12:21">
      <c r="L1546" s="4"/>
      <c r="M1546" s="4"/>
      <c r="U1546" s="4"/>
    </row>
    <row r="1547" customHeight="1" spans="12:21">
      <c r="L1547" s="4"/>
      <c r="M1547" s="4"/>
      <c r="U1547" s="4"/>
    </row>
    <row r="1548" customHeight="1" spans="12:21">
      <c r="L1548" s="4"/>
      <c r="M1548" s="4"/>
      <c r="U1548" s="4"/>
    </row>
    <row r="1549" customHeight="1" spans="12:21">
      <c r="L1549" s="4"/>
      <c r="M1549" s="4"/>
      <c r="U1549" s="4"/>
    </row>
    <row r="1550" customHeight="1" spans="12:21">
      <c r="L1550" s="4"/>
      <c r="M1550" s="4"/>
      <c r="U1550" s="4"/>
    </row>
    <row r="1551" customHeight="1" spans="12:21">
      <c r="L1551" s="4"/>
      <c r="M1551" s="4"/>
      <c r="U1551" s="4"/>
    </row>
    <row r="1552" customHeight="1" spans="12:21">
      <c r="L1552" s="4"/>
      <c r="M1552" s="4"/>
      <c r="U1552" s="4"/>
    </row>
    <row r="1553" customHeight="1" spans="12:21">
      <c r="L1553" s="4"/>
      <c r="M1553" s="4"/>
      <c r="U1553" s="4"/>
    </row>
    <row r="1554" customHeight="1" spans="12:21">
      <c r="L1554" s="4"/>
      <c r="M1554" s="4"/>
      <c r="U1554" s="4"/>
    </row>
    <row r="1555" customHeight="1" spans="12:21">
      <c r="L1555" s="4"/>
      <c r="M1555" s="4"/>
      <c r="U1555" s="4"/>
    </row>
    <row r="1556" customHeight="1" spans="12:21">
      <c r="L1556" s="4"/>
      <c r="M1556" s="4"/>
      <c r="U1556" s="4"/>
    </row>
    <row r="1557" customHeight="1" spans="12:21">
      <c r="L1557" s="4"/>
      <c r="M1557" s="4"/>
      <c r="U1557" s="4"/>
    </row>
    <row r="1558" customHeight="1" spans="12:21">
      <c r="L1558" s="4"/>
      <c r="M1558" s="4"/>
      <c r="U1558" s="4"/>
    </row>
    <row r="1559" customHeight="1" spans="12:21">
      <c r="L1559" s="4"/>
      <c r="M1559" s="4"/>
      <c r="U1559" s="4"/>
    </row>
    <row r="1560" customHeight="1" spans="12:21">
      <c r="L1560" s="4"/>
      <c r="M1560" s="4"/>
      <c r="U1560" s="4"/>
    </row>
    <row r="1561" customHeight="1" spans="12:21">
      <c r="L1561" s="4"/>
      <c r="M1561" s="4"/>
      <c r="U1561" s="4"/>
    </row>
    <row r="1562" customHeight="1" spans="12:21">
      <c r="L1562" s="4"/>
      <c r="M1562" s="4"/>
      <c r="U1562" s="4"/>
    </row>
    <row r="1563" customHeight="1" spans="12:21">
      <c r="L1563" s="4"/>
      <c r="M1563" s="4"/>
      <c r="U1563" s="4"/>
    </row>
    <row r="1564" customHeight="1" spans="12:21">
      <c r="L1564" s="4"/>
      <c r="M1564" s="4"/>
      <c r="U1564" s="4"/>
    </row>
    <row r="1565" customHeight="1" spans="12:21">
      <c r="L1565" s="4"/>
      <c r="M1565" s="4"/>
      <c r="U1565" s="4"/>
    </row>
    <row r="1566" customHeight="1" spans="12:21">
      <c r="L1566" s="4"/>
      <c r="M1566" s="4"/>
      <c r="U1566" s="4"/>
    </row>
    <row r="1567" customHeight="1" spans="12:21">
      <c r="L1567" s="4"/>
      <c r="M1567" s="4"/>
      <c r="U1567" s="4"/>
    </row>
    <row r="1568" customHeight="1" spans="12:21">
      <c r="L1568" s="4"/>
      <c r="M1568" s="4"/>
      <c r="U1568" s="4"/>
    </row>
    <row r="1569" customHeight="1" spans="12:21">
      <c r="L1569" s="4"/>
      <c r="M1569" s="4"/>
      <c r="U1569" s="4"/>
    </row>
    <row r="1570" customHeight="1" spans="12:21">
      <c r="L1570" s="4"/>
      <c r="M1570" s="4"/>
      <c r="U1570" s="4"/>
    </row>
    <row r="1571" customHeight="1" spans="12:21">
      <c r="L1571" s="4"/>
      <c r="M1571" s="4"/>
      <c r="U1571" s="4"/>
    </row>
    <row r="1572" customHeight="1" spans="12:21">
      <c r="L1572" s="4"/>
      <c r="M1572" s="4"/>
      <c r="U1572" s="4"/>
    </row>
    <row r="1573" customHeight="1" spans="12:21">
      <c r="L1573" s="4"/>
      <c r="M1573" s="4"/>
      <c r="U1573" s="4"/>
    </row>
    <row r="1574" customHeight="1" spans="12:21">
      <c r="L1574" s="4"/>
      <c r="M1574" s="4"/>
      <c r="U157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9"/>
  <sheetViews>
    <sheetView workbookViewId="0">
      <selection activeCell="A1" sqref="A1"/>
    </sheetView>
  </sheetViews>
  <sheetFormatPr defaultColWidth="12.6339285714286" defaultRowHeight="15.75" customHeight="1"/>
  <cols>
    <col min="1" max="1" width="5.75" customWidth="1"/>
    <col min="2" max="2" width="18.8839285714286" customWidth="1"/>
    <col min="3" max="3" width="6.63392857142857" customWidth="1"/>
    <col min="4" max="5" width="7.63392857142857" customWidth="1"/>
    <col min="6" max="7" width="7.38392857142857" customWidth="1"/>
    <col min="8" max="9" width="6.63392857142857" customWidth="1"/>
  </cols>
  <sheetData>
    <row r="1" customHeight="1" spans="4:7">
      <c r="D1" s="1">
        <v>31</v>
      </c>
      <c r="E1" s="1">
        <v>92</v>
      </c>
      <c r="F1" s="1">
        <v>365</v>
      </c>
      <c r="G1" s="1">
        <f>365*5+1</f>
        <v>1826</v>
      </c>
    </row>
    <row r="2" customHeight="1" spans="3:11">
      <c r="C2" s="1" t="s">
        <v>113</v>
      </c>
      <c r="D2" s="1" t="s">
        <v>114</v>
      </c>
      <c r="E2" s="1" t="s">
        <v>115</v>
      </c>
      <c r="F2" s="1" t="s">
        <v>116</v>
      </c>
      <c r="G2" s="1" t="s">
        <v>117</v>
      </c>
      <c r="H2" s="5" t="s">
        <v>118</v>
      </c>
      <c r="I2" s="8" t="s">
        <v>119</v>
      </c>
      <c r="K2" s="1" t="s">
        <v>120</v>
      </c>
    </row>
    <row r="3" customHeight="1" spans="1:11">
      <c r="A3" s="1" t="s">
        <v>50</v>
      </c>
      <c r="B3" s="1" t="s">
        <v>121</v>
      </c>
      <c r="C3" s="2">
        <f>IFERROR(__xludf.DUMMYFUNCTION("INDEX(GOOGLEFINANCE(B3,""close"",TODAY()-10,TODAY()),ROWS(GOOGLEFINANCE(B3,""close"",TODAY()-10,TODAY())),2)
"),26.95)</f>
        <v>26.95</v>
      </c>
      <c r="D3" s="3">
        <f>IFERROR(__xludf.DUMMYFUNCTION("AVERAGE(QUERY(GOOGLEFINANCE($B3,""close"",TODAY()-D$1,TODAY()),""select Col2 offset 1"",0))"),23.655909090909)</f>
        <v>23.655909090909</v>
      </c>
      <c r="E3" s="3">
        <f>IFERROR(__xludf.DUMMYFUNCTION("AVERAGE(QUERY(GOOGLEFINANCE($B3,""close"",TODAY()-E$1,TODAY()),""select Col2 offset 1"",0))"),19.3091803278688)</f>
        <v>19.3091803278688</v>
      </c>
      <c r="F3" s="3">
        <f>IFERROR(__xludf.DUMMYFUNCTION("AVERAGE(QUERY(GOOGLEFINANCE($B3,""close"",TODAY()-F$1,TODAY()),""select Col2 offset 1"",0))"),19.2438399999999)</f>
        <v>19.2438399999999</v>
      </c>
      <c r="G3" s="3">
        <f>IFERROR(__xludf.DUMMYFUNCTION("AVERAGE(QUERY(GOOGLEFINANCE($B3,""close"",TODAY()-G$1,TODAY()),""select Col2 offset 1"",0))"),19.1748363926576)</f>
        <v>19.1748363926576</v>
      </c>
      <c r="H3" s="6">
        <f t="shared" ref="H3:H4" si="0">SQRT(D3*E3)</f>
        <v>21.3723235624027</v>
      </c>
      <c r="I3" s="8">
        <v>40</v>
      </c>
      <c r="J3" s="1" t="s">
        <v>122</v>
      </c>
      <c r="K3" s="3">
        <f t="shared" ref="K3:K4" si="1">H3/SQRT(255)</f>
        <v>1.33838681717081</v>
      </c>
    </row>
    <row r="4" customHeight="1" spans="1:11">
      <c r="A4" s="1" t="s">
        <v>36</v>
      </c>
      <c r="B4" s="1" t="s">
        <v>123</v>
      </c>
      <c r="C4" s="2">
        <f>IFERROR(__xludf.DUMMYFUNCTION("INDEX(GOOGLEFINANCE(B4,""close"",TODAY()-10,TODAY()),ROWS(GOOGLEFINANCE(B4,""close"",TODAY()-10,TODAY())),2)
"),103.01)</f>
        <v>103.01</v>
      </c>
      <c r="D4" s="3">
        <f>IFERROR(__xludf.DUMMYFUNCTION("AVERAGE(QUERY(GOOGLEFINANCE($B4,""close"",TODAY()-D$1,TODAY()),""select Col2 offset 1"",0))"),80.5254545454545)</f>
        <v>80.5254545454545</v>
      </c>
      <c r="E4" s="3">
        <f>IFERROR(__xludf.DUMMYFUNCTION("AVERAGE(QUERY(GOOGLEFINANCE($B4,""close"",TODAY()-E$1,TODAY()),""select Col2 offset 1"",0))"),68.5444262295082)</f>
        <v>68.5444262295082</v>
      </c>
      <c r="F4" s="3">
        <f>IFERROR(__xludf.DUMMYFUNCTION("AVERAGE(QUERY(GOOGLEFINANCE($B4,""close"",TODAY()-F$1,TODAY()),""select Col2 offset 1"",0))"),82.2746747967479)</f>
        <v>82.2746747967479</v>
      </c>
      <c r="G4" s="3">
        <f>IFERROR(__xludf.DUMMYFUNCTION("AVERAGE(QUERY(GOOGLEFINANCE($B4,""close"",TODAY()-G$1,TODAY()),""select Col2 offset 1"",0))"),99.8146451612902)</f>
        <v>99.8146451612902</v>
      </c>
      <c r="H4" s="6">
        <f t="shared" si="0"/>
        <v>74.2938158845575</v>
      </c>
      <c r="I4" s="8">
        <v>130</v>
      </c>
      <c r="J4" s="1" t="s">
        <v>124</v>
      </c>
      <c r="K4" s="3">
        <f t="shared" si="1"/>
        <v>4.65245921843176</v>
      </c>
    </row>
    <row r="5" customHeight="1" spans="1:3">
      <c r="A5" s="1" t="s">
        <v>40</v>
      </c>
      <c r="B5" s="1" t="s">
        <v>125</v>
      </c>
      <c r="C5" s="2">
        <f>IFERROR(__xludf.DUMMYFUNCTION("GOOGLEFINANCE(B5, ""price"")"),38.65)</f>
        <v>38.65</v>
      </c>
    </row>
    <row r="6" customHeight="1" spans="1:3">
      <c r="A6" s="1" t="s">
        <v>126</v>
      </c>
      <c r="B6" s="1" t="s">
        <v>127</v>
      </c>
      <c r="C6" s="2">
        <f>IFERROR(__xludf.DUMMYFUNCTION("GOOGLEFINANCE(B6, ""price"")"),90.16)</f>
        <v>90.16</v>
      </c>
    </row>
    <row r="9" customHeight="1" spans="13:13">
      <c r="M9" s="10"/>
    </row>
    <row r="13" customHeight="1" spans="3:9">
      <c r="C13" s="1" t="s">
        <v>113</v>
      </c>
      <c r="D13" s="1" t="s">
        <v>114</v>
      </c>
      <c r="E13" s="1" t="s">
        <v>115</v>
      </c>
      <c r="F13" s="1" t="s">
        <v>116</v>
      </c>
      <c r="G13" s="1" t="s">
        <v>117</v>
      </c>
      <c r="H13" s="5" t="s">
        <v>118</v>
      </c>
      <c r="I13" s="8" t="s">
        <v>119</v>
      </c>
    </row>
    <row r="14" customHeight="1" spans="1:9">
      <c r="A14" s="1"/>
      <c r="B14" s="1" t="s">
        <v>128</v>
      </c>
      <c r="C14" s="4">
        <f>C3*Position!$C$9/100</f>
        <v>0.198106134509197</v>
      </c>
      <c r="D14" s="4">
        <f>D3*Position!$C$9/100</f>
        <v>0.173891677487976</v>
      </c>
      <c r="E14" s="4">
        <f>E3*Position!$C$9/100</f>
        <v>0.14193940910186</v>
      </c>
      <c r="F14" s="4">
        <f>F3*Position!$C$9/100</f>
        <v>0.14145910039011</v>
      </c>
      <c r="G14" s="4">
        <f>G3*Position!$C$9/100</f>
        <v>0.140951863361621</v>
      </c>
      <c r="H14" s="7">
        <f>H3*Position!$C$9/100</f>
        <v>0.157105321203244</v>
      </c>
      <c r="I14" s="9">
        <f>I3*Position!$C$9/100</f>
        <v>0.294035079048901</v>
      </c>
    </row>
    <row r="15" customHeight="1" spans="1:9">
      <c r="A15" s="1"/>
      <c r="B15" s="1" t="s">
        <v>129</v>
      </c>
      <c r="C15" s="4">
        <f>Position!$C$10*8*C4/10000</f>
        <v>0.0759194397952856</v>
      </c>
      <c r="D15" s="4">
        <f>Position!$C$10*8*D4/10000</f>
        <v>0.059348096285328</v>
      </c>
      <c r="E15" s="4">
        <f>Position!$C$10*8*E4/10000</f>
        <v>0.0505179539892587</v>
      </c>
      <c r="F15" s="4">
        <f>Position!$C$10*8*F4/10000</f>
        <v>0.0606372897768023</v>
      </c>
      <c r="G15" s="4">
        <f>Position!$C$10*8*G4/10000</f>
        <v>0.0735644300942662</v>
      </c>
      <c r="H15" s="7">
        <f>Position!$C$10*8*H4/10000</f>
        <v>0.0547553138744752</v>
      </c>
      <c r="I15" s="9">
        <f>Position!$C$10*8*I4/10000</f>
        <v>0.0958113500959822</v>
      </c>
    </row>
    <row r="16" customHeight="1" spans="3:3">
      <c r="C16" s="4"/>
    </row>
    <row r="18" customHeight="1" spans="1:9">
      <c r="A18" s="1"/>
      <c r="B18" s="1" t="s">
        <v>130</v>
      </c>
      <c r="C18" s="4">
        <f t="shared" ref="C18:I18" si="2">SQRT(C14*C14+C15*C15)</f>
        <v>0.212155136324828</v>
      </c>
      <c r="D18" s="4">
        <f t="shared" si="2"/>
        <v>0.18374033860934</v>
      </c>
      <c r="E18" s="4">
        <f t="shared" si="2"/>
        <v>0.150661406907828</v>
      </c>
      <c r="F18" s="4">
        <f t="shared" si="2"/>
        <v>0.153907628123674</v>
      </c>
      <c r="G18" s="4">
        <f t="shared" si="2"/>
        <v>0.158994192221625</v>
      </c>
      <c r="H18" s="4">
        <f t="shared" si="2"/>
        <v>0.166373754985174</v>
      </c>
      <c r="I18" s="4">
        <f t="shared" si="2"/>
        <v>0.309251422823742</v>
      </c>
    </row>
    <row r="19" customHeight="1" spans="1:9">
      <c r="A19" s="1"/>
      <c r="B19" s="1" t="s">
        <v>131</v>
      </c>
      <c r="C19" s="4">
        <f t="shared" ref="C19:I19" si="3">C14+C15</f>
        <v>0.274025574304483</v>
      </c>
      <c r="D19" s="4">
        <f t="shared" si="3"/>
        <v>0.233239773773304</v>
      </c>
      <c r="E19" s="4">
        <f t="shared" si="3"/>
        <v>0.192457363091119</v>
      </c>
      <c r="F19" s="4">
        <f t="shared" si="3"/>
        <v>0.202096390166912</v>
      </c>
      <c r="G19" s="4">
        <f t="shared" si="3"/>
        <v>0.214516293455887</v>
      </c>
      <c r="H19" s="4">
        <f t="shared" si="3"/>
        <v>0.211860635077719</v>
      </c>
      <c r="I19" s="4">
        <f t="shared" si="3"/>
        <v>0.389846429144884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Position</vt:lpstr>
      <vt:lpstr>Risk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kelvin</cp:lastModifiedBy>
  <dcterms:created xsi:type="dcterms:W3CDTF">2026-03-26T12:39:41Z</dcterms:created>
  <dcterms:modified xsi:type="dcterms:W3CDTF">2026-03-26T12:39:59Z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